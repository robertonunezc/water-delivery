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647d85f13046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b9fa17cfb24a4dc6"/>
    <x:sheet xmlns:r="http://schemas.openxmlformats.org/officeDocument/2006/relationships" name="Casos Manuales" sheetId="2" r:id="Rb00971b064cf46af"/>
    <x:sheet xmlns:r="http://schemas.openxmlformats.org/officeDocument/2006/relationships" name="Datos de Prueba" sheetId="3" r:id="Rd8c56f005f64401f"/>
    <x:sheet xmlns:r="http://schemas.openxmlformats.org/officeDocument/2006/relationships" name="Mapa de Fuentes" sheetId="4" r:id="Rdb049792561d4c28"/>
    <x:sheet xmlns:r="http://schemas.openxmlformats.org/officeDocument/2006/relationships" name="Guía de Ejecución" sheetId="5" r:id="R6efb5ddc010f40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sz val="10"/>
      <x:color rgb="FF111827"/>
      <x:name val="Calibri"/>
    </x:font>
    <x:font>
      <x:b/>
      <x:sz val="10"/>
      <x:color rgb="FFFFFFFF"/>
      <x:name val="Calibri"/>
    </x:font>
    <x:font>
      <x:b/>
      <x:sz val="16"/>
      <x:color rgb="FFFFFFFF"/>
      <x:name val="Calibri"/>
    </x:font>
    <x:font>
      <x:sz val="10"/>
      <x:color rgb="FF0F172A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0F172A"/>
      </x:patternFill>
    </x:fill>
    <x:fill>
      <x:patternFill patternType="solid">
        <x:fgColor rgb="FFE0F2FE"/>
      </x:patternFill>
    </x:fill>
    <x:fill>
      <x:patternFill patternType="solid">
        <x:fgColor rgb="FF475569"/>
      </x:patternFill>
    </x:fill>
    <x:fill>
      <x:patternFill patternType="solid">
        <x:fgColor rgb="FFF8FAFC"/>
      </x:patternFill>
    </x:fill>
  </x:fills>
  <x:borders count="20">
    <x:border/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bottom style="thin">
        <x:color rgb="FFE5E7EB"/>
      </x:bottom>
    </x:border>
    <x:border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top style="thin">
        <x:color rgb="FFE5E7EB"/>
      </x:top>
      <x:bottom style="thin">
        <x:color rgb="FFE5E7EB"/>
      </x:bottom>
    </x:border>
    <x:border>
      <x:right style="thin">
        <x:color rgb="FFF3F4F6"/>
      </x:right>
      <x:top style="thin">
        <x:color rgb="FFE5E7EB"/>
      </x:top>
      <x:bottom style="thin">
        <x:color rgb="FFD1D5DB"/>
      </x:bottom>
    </x:border>
    <x:border>
      <x:left style="thin">
        <x:color rgb="FFF3F4F6"/>
      </x:left>
      <x:right style="thin">
        <x:color rgb="FFF3F4F6"/>
      </x:right>
      <x:top style="thin">
        <x:color rgb="FFE5E7EB"/>
      </x:top>
      <x:bottom style="thin">
        <x:color rgb="FFD1D5DB"/>
      </x:bottom>
    </x:border>
    <x:border>
      <x:left style="thin">
        <x:color rgb="FFF3F4F6"/>
      </x:left>
      <x:top style="thin">
        <x:color rgb="FFE5E7E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CBD5E1"/>
      </x:left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6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2" fillId="2" borderId="3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2" xfId="0" applyNumberFormat="1" applyFont="1" applyFill="1" applyBorder="1" applyAlignment="1">
      <x:alignment horizontal="center" vertical="top" wrapText="1"/>
    </x:xf>
    <x:xf numFmtId="0" fontId="2" fillId="2" borderId="3" xfId="0" applyNumberFormat="1" applyFont="1" applyFill="1" applyBorder="1" applyAlignment="1">
      <x:alignment horizontal="center" vertical="top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2" fillId="2" borderId="4" xfId="0" applyNumberFormat="1" applyFont="1" applyFill="1" applyBorder="1" applyAlignment="1">
      <x:alignment horizontal="center" vertical="center" wrapText="1"/>
    </x:xf>
    <x:xf numFmtId="0" fontId="2" fillId="2" borderId="5" xfId="0" applyNumberFormat="1" applyFont="1" applyFill="1" applyBorder="1" applyAlignment="1">
      <x:alignment horizontal="center" vertical="center" wrapText="1"/>
    </x:xf>
    <x:xf numFmtId="0" fontId="2" fillId="2" borderId="6" xfId="0" applyNumberFormat="1" applyFont="1" applyFill="1" applyBorder="1" applyAlignment="1">
      <x:alignment horizontal="center" vertical="center" wrapText="1"/>
    </x:xf>
    <x:xf numFmtId="0" fontId="1" fillId="0" borderId="7" xfId="0" applyNumberFormat="1" applyFont="1" applyFill="1" applyBorder="1" applyAlignment="1">
      <x:alignment vertical="top" wrapText="1"/>
    </x:xf>
    <x:xf numFmtId="0" fontId="1" fillId="0" borderId="8" xfId="0" applyNumberFormat="1" applyFont="1" applyFill="1" applyBorder="1" applyAlignment="1">
      <x:alignment vertical="top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0" borderId="10" xfId="0" applyNumberFormat="1" applyFont="1" applyFill="1" applyBorder="1" applyAlignment="1">
      <x:alignment vertical="top" wrapText="1"/>
    </x:xf>
    <x:xf numFmtId="0" fontId="1" fillId="0" borderId="11" xfId="0" applyNumberFormat="1" applyFont="1" applyFill="1" applyBorder="1" applyAlignment="1">
      <x:alignment vertical="top" wrapText="1"/>
    </x:xf>
    <x:xf numFmtId="0" fontId="1" fillId="0" borderId="12" xfId="0" applyNumberFormat="1" applyFont="1" applyFill="1" applyBorder="1" applyAlignment="1">
      <x:alignment vertical="top" wrapText="1"/>
    </x:xf>
    <x:xf numFmtId="0" fontId="1" fillId="0" borderId="7" xfId="0" applyNumberFormat="1" applyFont="1" applyFill="1" applyBorder="1" applyAlignment="1">
      <x:alignment horizontal="center" vertical="top" wrapText="1"/>
    </x:xf>
    <x:xf numFmtId="0" fontId="1" fillId="0" borderId="8" xfId="0" applyNumberFormat="1" applyFont="1" applyFill="1" applyBorder="1" applyAlignment="1">
      <x:alignment horizontal="center" vertical="top" wrapText="1"/>
    </x:xf>
    <x:xf numFmtId="0" fontId="1" fillId="0" borderId="10" xfId="0" applyNumberFormat="1" applyFont="1" applyFill="1" applyBorder="1" applyAlignment="1">
      <x:alignment horizontal="center" vertical="top" wrapText="1"/>
    </x:xf>
    <x:xf numFmtId="0" fontId="1" fillId="0" borderId="11" xfId="0" applyNumberFormat="1" applyFont="1" applyFill="1" applyBorder="1" applyAlignment="1">
      <x:alignment horizontal="center" vertical="top" wrapText="1"/>
    </x:xf>
    <x:xf numFmtId="200" fontId="1" fillId="0" borderId="8" xfId="0" applyNumberFormat="1" applyFont="1" applyFill="1" applyBorder="1" applyAlignment="1">
      <x:alignment vertical="top" wrapText="1"/>
    </x:xf>
    <x:xf numFmtId="200" fontId="1" fillId="0" borderId="11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13" xfId="0" applyNumberFormat="1" applyFont="1" applyFill="1" applyBorder="1" applyAlignment="1">
      <x:alignment horizontal="center"/>
    </x:xf>
    <x:xf numFmtId="0" fontId="1" fillId="0" borderId="13" xfId="0" applyNumberFormat="1" applyFont="1" applyFill="1" applyBorder="1"/>
    <x:xf numFmtId="201" fontId="1" fillId="0" borderId="13" xfId="0" applyNumberFormat="1" applyFont="1" applyFill="1" applyBorder="1"/>
    <x:xf numFmtId="0" fontId="1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horizontal="center"/>
    </x:xf>
    <x:xf numFmtId="0" fontId="2" fillId="5" borderId="13" xfId="0" applyNumberFormat="1" applyFont="1" applyFill="1" applyBorder="1" applyAlignment="1">
      <x:alignment horizontal="center"/>
    </x:xf>
    <x:xf numFmtId="0" fontId="1" fillId="6" borderId="0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6" xfId="0" applyNumberFormat="1" applyFont="1" applyFill="1" applyBorder="1"/>
    <x:xf numFmtId="0" fontId="1" fillId="6" borderId="17" xfId="0" applyNumberFormat="1" applyFont="1" applyFill="1" applyBorder="1"/>
    <x:xf numFmtId="0" fontId="1" fillId="6" borderId="18" xfId="0" applyNumberFormat="1" applyFont="1" applyFill="1" applyBorder="1"/>
    <x:xf numFmtId="0" fontId="1" fillId="6" borderId="19" xfId="0" applyNumberFormat="1" applyFont="1" applyFill="1" applyBorder="1"/>
    <x:xf numFmtId="0" fontId="1" fillId="6" borderId="14" xfId="0" applyNumberFormat="1" applyFont="1" applyFill="1" applyBorder="1" applyAlignment="1">
      <x:alignment wrapText="1"/>
    </x:xf>
    <x:xf numFmtId="0" fontId="1" fillId="6" borderId="15" xfId="0" applyNumberFormat="1" applyFont="1" applyFill="1" applyBorder="1" applyAlignment="1">
      <x:alignment wrapText="1"/>
    </x:xf>
    <x:xf numFmtId="0" fontId="1" fillId="6" borderId="16" xfId="0" applyNumberFormat="1" applyFont="1" applyFill="1" applyBorder="1" applyAlignment="1">
      <x:alignment wrapText="1"/>
    </x:xf>
    <x:xf numFmtId="0" fontId="1" fillId="6" borderId="17" xfId="0" applyNumberFormat="1" applyFont="1" applyFill="1" applyBorder="1" applyAlignment="1">
      <x:alignment wrapText="1"/>
    </x:xf>
    <x:xf numFmtId="0" fontId="1" fillId="6" borderId="18" xfId="0" applyNumberFormat="1" applyFont="1" applyFill="1" applyBorder="1" applyAlignment="1">
      <x:alignment wrapText="1"/>
    </x:xf>
    <x:xf numFmtId="0" fontId="1" fillId="6" borderId="19" xfId="0" applyNumberFormat="1" applyFont="1" applyFill="1" applyBorder="1" applyAlignment="1">
      <x:alignment wrapText="1"/>
    </x:xf>
    <x:xf numFmtId="0" fontId="1" fillId="6" borderId="14" xfId="0" applyNumberFormat="1" applyFont="1" applyFill="1" applyBorder="1" applyAlignment="1">
      <x:alignment vertical="top" wrapText="1"/>
    </x:xf>
    <x:xf numFmtId="0" fontId="1" fillId="6" borderId="15" xfId="0" applyNumberFormat="1" applyFont="1" applyFill="1" applyBorder="1" applyAlignment="1">
      <x:alignment vertical="top" wrapText="1"/>
    </x:xf>
    <x:xf numFmtId="0" fontId="1" fillId="6" borderId="16" xfId="0" applyNumberFormat="1" applyFont="1" applyFill="1" applyBorder="1" applyAlignment="1">
      <x:alignment vertical="top" wrapText="1"/>
    </x:xf>
    <x:xf numFmtId="0" fontId="1" fillId="6" borderId="17" xfId="0" applyNumberFormat="1" applyFont="1" applyFill="1" applyBorder="1" applyAlignment="1">
      <x:alignment vertical="top" wrapText="1"/>
    </x:xf>
    <x:xf numFmtId="0" fontId="1" fillId="6" borderId="18" xfId="0" applyNumberFormat="1" applyFont="1" applyFill="1" applyBorder="1" applyAlignment="1">
      <x:alignment vertical="top" wrapText="1"/>
    </x:xf>
    <x:xf numFmtId="0" fontId="1" fillId="6" borderId="19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f18884dba9408b" /><Relationship Type="http://schemas.openxmlformats.org/officeDocument/2006/relationships/theme" Target="/xl/theme/theme1.xml" Id="R157443438a07449b" /><Relationship Type="http://schemas.openxmlformats.org/officeDocument/2006/relationships/sharedStrings" Target="/xl/sharedStrings.xml" Id="R474522ba263943cd" /><Relationship Type="http://schemas.openxmlformats.org/officeDocument/2006/relationships/worksheet" Target="/xl/worksheets/sheet1.xml" Id="Rb9fa17cfb24a4dc6" /><Relationship Type="http://schemas.openxmlformats.org/officeDocument/2006/relationships/worksheet" Target="/xl/worksheets/sheet2.xml" Id="Rb00971b064cf46af" /><Relationship Type="http://schemas.openxmlformats.org/officeDocument/2006/relationships/worksheet" Target="/xl/worksheets/sheet3.xml" Id="Rd8c56f005f64401f" /><Relationship Type="http://schemas.openxmlformats.org/officeDocument/2006/relationships/worksheet" Target="/xl/worksheets/sheet4.xml" Id="Rdb049792561d4c28" /><Relationship Type="http://schemas.openxmlformats.org/officeDocument/2006/relationships/worksheet" Target="/xl/worksheets/sheet5.xml" Id="R6efb5ddc010f4040" /></Relationships>
</file>

<file path=xl/tables/table1.xml><?xml version="1.0" encoding="utf-8"?>
<x:table xmlns:x="http://schemas.openxmlformats.org/spreadsheetml/2006/main" id="1" name="ManualCasesTable" displayName="ManualCasesTable" ref="A1:Q62" headerRowCount="1" totalsRowCount="0" totalsRowShown="0">
  <x:autoFilter ref="A1:Q62"/>
  <x:tableColumns count="17">
    <x:tableColumn id="1" name="ID Caso"/>
    <x:tableColumn id="2" name="Área"/>
    <x:tableColumn id="3" name="Prioridad"/>
    <x:tableColumn id="4" name="Escenario"/>
    <x:tableColumn id="5" name="Precondiciones / Datos"/>
    <x:tableColumn id="6" name="Pasos manuales"/>
    <x:tableColumn id="7" name="Resultados esperados"/>
    <x:tableColumn id="8" name="Post-checks / Evidencia"/>
    <x:tableColumn id="9" name="Pruebas fuente"/>
    <x:tableColumn id="10" name="Código fuente"/>
    <x:tableColumn id="11" name="Notas QA"/>
    <x:tableColumn id="12" name="Estado"/>
    <x:tableColumn id="13" name="Responsable"/>
    <x:tableColumn id="14" name="Fecha probada"/>
    <x:tableColumn id="15" name="Resultado real"/>
    <x:tableColumn id="16" name="Liga defecto"/>
    <x:tableColumn id="17" name="Notas de ejecució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taSetupTable" displayName="DataSetupTable" ref="A1:E13" headerRowCount="1" totalsRowCount="0" totalsRowShown="0">
  <x:autoFilter ref="A1:E13"/>
  <x:tableColumns count="5">
    <x:tableColumn id="1" name="ID Setup"/>
    <x:tableColumn id="2" name="Entidad"/>
    <x:tableColumn id="3" name="Instrucciones de preparación"/>
    <x:tableColumn id="4" name="Usado por"/>
    <x:tableColumn id="5" name="Nota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MapTable" displayName="SourceMapTable" ref="A1:E13" headerRowCount="1" totalsRowCount="0" totalsRowShown="0">
  <x:autoFilter ref="A1:E13"/>
  <x:tableColumns count="5">
    <x:tableColumn id="1" name="Área"/>
    <x:tableColumn id="2" name="Comportamiento"/>
    <x:tableColumn id="3" name="Código fuente principal"/>
    <x:tableColumn id="4" name="Pruebas automatizadas"/>
    <x:tableColumn id="5" name="IDs de casos manual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unGuideTable" displayName="RunGuideTable" ref="A1:B9" headerRowCount="1" totalsRowCount="0" totalsRowShown="0">
  <x:autoFilter ref="A1:B9"/>
  <x:tableColumns count="2">
    <x:tableColumn id="1" name="Tema"/>
    <x:tableColumn id="2" name="Guí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4c75409440740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97da8b173634db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fc3df54d536491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a1237ed5b78464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4399995803833" hidden="0" customWidth="1"/>
    <x:col min="2" max="2" width="35.560001373291016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12.779999732971191" hidden="0" customWidth="1"/>
    <x:col min="7" max="7" width="8.890000343322754" hidden="0" customWidth="1"/>
    <x:col min="8" max="8" width="8.890000343322754" hidden="0" customWidth="1"/>
    <x:col min="9" max="9" width="3.3299999237060547" hidden="0" customWidth="1"/>
    <x:col min="10" max="10" width="20" hidden="0" customWidth="1"/>
    <x:col min="11" max="11" width="10" hidden="0" customWidth="1"/>
  </x:cols>
  <x:sheetData>
    <x:row r="1" ht="25.5" customHeight="1">
      <x:c r="A1" s="32" t="str">
        <x:v>Handoff QA Manual: Pagos, Facturas, Crédito y Deuda</x:v>
      </x:c>
      <x:c r="B1" s="32"/>
      <x:c r="C1" s="32"/>
      <x:c r="D1" s="32"/>
      <x:c r="E1" s="32"/>
      <x:c r="F1" s="32"/>
      <x:c r="G1" s="32"/>
      <x:c r="H1" s="32"/>
      <x:c r="I1" s="1"/>
      <x:c r="J1" s="1"/>
      <x:c r="K1" s="1"/>
    </x:row>
    <x:row r="2">
      <x:c r="A2" s="34" t="str">
        <x:v>Generado el 2026-07-22 desde pruebas unitarias y código de servicios. Total de casos manuales: 61.</x:v>
      </x:c>
      <x:c r="B2" s="34"/>
      <x:c r="C2" s="34"/>
      <x:c r="D2" s="34"/>
      <x:c r="E2" s="34"/>
      <x:c r="F2" s="34"/>
      <x:c r="G2" s="34"/>
      <x:c r="H2" s="34"/>
      <x:c r="I2" s="1"/>
      <x:c r="J2" s="1"/>
      <x:c r="K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38" t="str">
        <x:v>Área</x:v>
      </x:c>
      <x:c r="B4" s="38" t="str">
        <x:v>Total</x:v>
      </x:c>
      <x:c r="C4" s="38" t="str">
        <x:v>P0</x:v>
      </x:c>
      <x:c r="D4" s="38" t="str">
        <x:v>P1</x:v>
      </x:c>
      <x:c r="E4" s="38" t="str">
        <x:v>P2</x:v>
      </x:c>
      <x:c r="F4" s="38" t="str">
        <x:v>Sin iniciar</x:v>
      </x:c>
      <x:c r="G4" s="38" t="str">
        <x:v>Aprobado</x:v>
      </x:c>
      <x:c r="H4" s="38" t="str">
        <x:v>Fallido</x:v>
      </x:c>
      <x:c r="I4" s="1"/>
      <x:c r="J4" s="44" t="str">
        <x:v>Resumen ejecución</x:v>
      </x:c>
      <x:c r="K4" s="44" t="str">
        <x:v>Conteo</x:v>
      </x:c>
    </x:row>
    <x:row r="5">
      <x:c r="A5" s="39" t="str">
        <x:v>Pagos</x:v>
      </x:c>
      <x:c r="B5" s="40" t="n">
        <x:f>COUNTIF('Casos Manuales'!$B$2:$B$62,A5)</x:f>
        <x:v>9</x:v>
      </x:c>
      <x:c r="C5" s="40" t="n">
        <x:f>COUNTIFS('Casos Manuales'!$B$2:$B$62,A5,'Casos Manuales'!$C$2:$C$62,"P0")</x:f>
        <x:v>5</x:v>
      </x:c>
      <x:c r="D5" s="40" t="n">
        <x:f>COUNTIFS('Casos Manuales'!$B$2:$B$62,A5,'Casos Manuales'!$C$2:$C$62,"P1")</x:f>
        <x:v>3</x:v>
      </x:c>
      <x:c r="E5" s="40" t="n">
        <x:f>COUNTIFS('Casos Manuales'!$B$2:$B$62,A5,'Casos Manuales'!$C$2:$C$62,"P2")</x:f>
        <x:v>1</x:v>
      </x:c>
      <x:c r="F5" s="40" t="n">
        <x:f>COUNTIFS('Casos Manuales'!$B$2:$B$62,A5,'Casos Manuales'!$L$2:$L$62,"Sin iniciar")</x:f>
        <x:v>9</x:v>
      </x:c>
      <x:c r="G5" s="40" t="n">
        <x:f>COUNTIFS('Casos Manuales'!$B$2:$B$62,A5,'Casos Manuales'!$L$2:$L$62,"Aprobado")</x:f>
        <x:v>0</x:v>
      </x:c>
      <x:c r="H5" s="40" t="n">
        <x:f>COUNTIFS('Casos Manuales'!$B$2:$B$62,A5,'Casos Manuales'!$L$2:$L$62,"Fallido")</x:f>
        <x:v>0</x:v>
      </x:c>
      <x:c r="I5" s="1"/>
      <x:c r="J5" s="39" t="str">
        <x:v>Total general</x:v>
      </x:c>
      <x:c r="K5" s="40" t="n">
        <x:f>COUNTA('Casos Manuales'!$A$2:$A$62)</x:f>
        <x:v>61</x:v>
      </x:c>
    </x:row>
    <x:row r="6">
      <x:c r="A6" s="39" t="str">
        <x:v>Balance</x:v>
      </x:c>
      <x:c r="B6" s="40" t="n">
        <x:f>COUNTIF('Casos Manuales'!$B$2:$B$62,A6)</x:f>
        <x:v>2</x:v>
      </x:c>
      <x:c r="C6" s="40" t="n">
        <x:f>COUNTIFS('Casos Manuales'!$B$2:$B$62,A6,'Casos Manuales'!$C$2:$C$62,"P0")</x:f>
        <x:v>1</x:v>
      </x:c>
      <x:c r="D6" s="40" t="n">
        <x:f>COUNTIFS('Casos Manuales'!$B$2:$B$62,A6,'Casos Manuales'!$C$2:$C$62,"P1")</x:f>
        <x:v>1</x:v>
      </x:c>
      <x:c r="E6" s="40" t="n">
        <x:f>COUNTIFS('Casos Manuales'!$B$2:$B$62,A6,'Casos Manuales'!$C$2:$C$62,"P2")</x:f>
        <x:v>0</x:v>
      </x:c>
      <x:c r="F6" s="40" t="n">
        <x:f>COUNTIFS('Casos Manuales'!$B$2:$B$62,A6,'Casos Manuales'!$L$2:$L$62,"Sin iniciar")</x:f>
        <x:v>2</x:v>
      </x:c>
      <x:c r="G6" s="40" t="n">
        <x:f>COUNTIFS('Casos Manuales'!$B$2:$B$62,A6,'Casos Manuales'!$L$2:$L$62,"Aprobado")</x:f>
        <x:v>0</x:v>
      </x:c>
      <x:c r="H6" s="40" t="n">
        <x:f>COUNTIFS('Casos Manuales'!$B$2:$B$62,A6,'Casos Manuales'!$L$2:$L$62,"Fallido")</x:f>
        <x:v>0</x:v>
      </x:c>
      <x:c r="I6" s="1"/>
      <x:c r="J6" s="39" t="str">
        <x:v>Conteo P0</x:v>
      </x:c>
      <x:c r="K6" s="40" t="n">
        <x:f>COUNTIF('Casos Manuales'!$C$2:$C$62,"P0")</x:f>
        <x:v>31</x:v>
      </x:c>
    </x:row>
    <x:row r="7">
      <x:c r="A7" s="39" t="str">
        <x:v>Deuda</x:v>
      </x:c>
      <x:c r="B7" s="40" t="n">
        <x:f>COUNTIF('Casos Manuales'!$B$2:$B$62,A7)</x:f>
        <x:v>5</x:v>
      </x:c>
      <x:c r="C7" s="40" t="n">
        <x:f>COUNTIFS('Casos Manuales'!$B$2:$B$62,A7,'Casos Manuales'!$C$2:$C$62,"P0")</x:f>
        <x:v>2</x:v>
      </x:c>
      <x:c r="D7" s="40" t="n">
        <x:f>COUNTIFS('Casos Manuales'!$B$2:$B$62,A7,'Casos Manuales'!$C$2:$C$62,"P1")</x:f>
        <x:v>3</x:v>
      </x:c>
      <x:c r="E7" s="40" t="n">
        <x:f>COUNTIFS('Casos Manuales'!$B$2:$B$62,A7,'Casos Manuales'!$C$2:$C$62,"P2")</x:f>
        <x:v>0</x:v>
      </x:c>
      <x:c r="F7" s="40" t="n">
        <x:f>COUNTIFS('Casos Manuales'!$B$2:$B$62,A7,'Casos Manuales'!$L$2:$L$62,"Sin iniciar")</x:f>
        <x:v>5</x:v>
      </x:c>
      <x:c r="G7" s="40" t="n">
        <x:f>COUNTIFS('Casos Manuales'!$B$2:$B$62,A7,'Casos Manuales'!$L$2:$L$62,"Aprobado")</x:f>
        <x:v>0</x:v>
      </x:c>
      <x:c r="H7" s="40" t="n">
        <x:f>COUNTIFS('Casos Manuales'!$B$2:$B$62,A7,'Casos Manuales'!$L$2:$L$62,"Fallido")</x:f>
        <x:v>0</x:v>
      </x:c>
      <x:c r="I7" s="1"/>
      <x:c r="J7" s="39" t="str">
        <x:v>Aprobados</x:v>
      </x:c>
      <x:c r="K7" s="40" t="n">
        <x:f>COUNTIF('Casos Manuales'!$L$2:$L$62,"Aprobado")</x:f>
        <x:v>0</x:v>
      </x:c>
    </x:row>
    <x:row r="8">
      <x:c r="A8" s="39" t="str">
        <x:v>Órdenes a crédito</x:v>
      </x:c>
      <x:c r="B8" s="40" t="n">
        <x:f>COUNTIF('Casos Manuales'!$B$2:$B$62,A8)</x:f>
        <x:v>12</x:v>
      </x:c>
      <x:c r="C8" s="40" t="n">
        <x:f>COUNTIFS('Casos Manuales'!$B$2:$B$62,A8,'Casos Manuales'!$C$2:$C$62,"P0")</x:f>
        <x:v>6</x:v>
      </x:c>
      <x:c r="D8" s="40" t="n">
        <x:f>COUNTIFS('Casos Manuales'!$B$2:$B$62,A8,'Casos Manuales'!$C$2:$C$62,"P1")</x:f>
        <x:v>5</x:v>
      </x:c>
      <x:c r="E8" s="40" t="n">
        <x:f>COUNTIFS('Casos Manuales'!$B$2:$B$62,A8,'Casos Manuales'!$C$2:$C$62,"P2")</x:f>
        <x:v>1</x:v>
      </x:c>
      <x:c r="F8" s="40" t="n">
        <x:f>COUNTIFS('Casos Manuales'!$B$2:$B$62,A8,'Casos Manuales'!$L$2:$L$62,"Sin iniciar")</x:f>
        <x:v>12</x:v>
      </x:c>
      <x:c r="G8" s="40" t="n">
        <x:f>COUNTIFS('Casos Manuales'!$B$2:$B$62,A8,'Casos Manuales'!$L$2:$L$62,"Aprobado")</x:f>
        <x:v>0</x:v>
      </x:c>
      <x:c r="H8" s="40" t="n">
        <x:f>COUNTIFS('Casos Manuales'!$B$2:$B$62,A8,'Casos Manuales'!$L$2:$L$62,"Fallido")</x:f>
        <x:v>0</x:v>
      </x:c>
      <x:c r="I8" s="1"/>
      <x:c r="J8" s="39" t="str">
        <x:v>Fallidos</x:v>
      </x:c>
      <x:c r="K8" s="40" t="n">
        <x:f>COUNTIF('Casos Manuales'!$L$2:$L$62,"Fallido")</x:f>
        <x:v>0</x:v>
      </x:c>
    </x:row>
    <x:row r="9">
      <x:c r="A9" s="39" t="str">
        <x:v>Config crédito</x:v>
      </x:c>
      <x:c r="B9" s="40" t="n">
        <x:f>COUNTIF('Casos Manuales'!$B$2:$B$62,A9)</x:f>
        <x:v>7</x:v>
      </x:c>
      <x:c r="C9" s="40" t="n">
        <x:f>COUNTIFS('Casos Manuales'!$B$2:$B$62,A9,'Casos Manuales'!$C$2:$C$62,"P0")</x:f>
        <x:v>1</x:v>
      </x:c>
      <x:c r="D9" s="40" t="n">
        <x:f>COUNTIFS('Casos Manuales'!$B$2:$B$62,A9,'Casos Manuales'!$C$2:$C$62,"P1")</x:f>
        <x:v>5</x:v>
      </x:c>
      <x:c r="E9" s="40" t="n">
        <x:f>COUNTIFS('Casos Manuales'!$B$2:$B$62,A9,'Casos Manuales'!$C$2:$C$62,"P2")</x:f>
        <x:v>1</x:v>
      </x:c>
      <x:c r="F9" s="40" t="n">
        <x:f>COUNTIFS('Casos Manuales'!$B$2:$B$62,A9,'Casos Manuales'!$L$2:$L$62,"Sin iniciar")</x:f>
        <x:v>7</x:v>
      </x:c>
      <x:c r="G9" s="40" t="n">
        <x:f>COUNTIFS('Casos Manuales'!$B$2:$B$62,A9,'Casos Manuales'!$L$2:$L$62,"Aprobado")</x:f>
        <x:v>0</x:v>
      </x:c>
      <x:c r="H9" s="40" t="n">
        <x:f>COUNTIFS('Casos Manuales'!$B$2:$B$62,A9,'Casos Manuales'!$L$2:$L$62,"Fallido")</x:f>
        <x:v>0</x:v>
      </x:c>
      <x:c r="I9" s="1"/>
      <x:c r="J9" s="39" t="str">
        <x:v>Bloqueados</x:v>
      </x:c>
      <x:c r="K9" s="40" t="n">
        <x:f>COUNTIF('Casos Manuales'!$L$2:$L$62,"Bloqueado")</x:f>
        <x:v>0</x:v>
      </x:c>
    </x:row>
    <x:row r="10">
      <x:c r="A10" s="39" t="str">
        <x:v>Facturas</x:v>
      </x:c>
      <x:c r="B10" s="40" t="n">
        <x:f>COUNTIF('Casos Manuales'!$B$2:$B$62,A10)</x:f>
        <x:v>12</x:v>
      </x:c>
      <x:c r="C10" s="40" t="n">
        <x:f>COUNTIFS('Casos Manuales'!$B$2:$B$62,A10,'Casos Manuales'!$C$2:$C$62,"P0")</x:f>
        <x:v>7</x:v>
      </x:c>
      <x:c r="D10" s="40" t="n">
        <x:f>COUNTIFS('Casos Manuales'!$B$2:$B$62,A10,'Casos Manuales'!$C$2:$C$62,"P1")</x:f>
        <x:v>4</x:v>
      </x:c>
      <x:c r="E10" s="40" t="n">
        <x:f>COUNTIFS('Casos Manuales'!$B$2:$B$62,A10,'Casos Manuales'!$C$2:$C$62,"P2")</x:f>
        <x:v>1</x:v>
      </x:c>
      <x:c r="F10" s="40" t="n">
        <x:f>COUNTIFS('Casos Manuales'!$B$2:$B$62,A10,'Casos Manuales'!$L$2:$L$62,"Sin iniciar")</x:f>
        <x:v>12</x:v>
      </x:c>
      <x:c r="G10" s="40" t="n">
        <x:f>COUNTIFS('Casos Manuales'!$B$2:$B$62,A10,'Casos Manuales'!$L$2:$L$62,"Aprobado")</x:f>
        <x:v>0</x:v>
      </x:c>
      <x:c r="H10" s="40" t="n">
        <x:f>COUNTIFS('Casos Manuales'!$B$2:$B$62,A10,'Casos Manuales'!$L$2:$L$62,"Fallido")</x:f>
        <x:v>0</x:v>
      </x:c>
      <x:c r="I10" s="1"/>
      <x:c r="J10" s="1"/>
      <x:c r="K10" s="1"/>
    </x:row>
    <x:row r="11">
      <x:c r="A11" s="39" t="str">
        <x:v>Cancelaciones</x:v>
      </x:c>
      <x:c r="B11" s="40" t="n">
        <x:f>COUNTIF('Casos Manuales'!$B$2:$B$62,A11)</x:f>
        <x:v>8</x:v>
      </x:c>
      <x:c r="C11" s="40" t="n">
        <x:f>COUNTIFS('Casos Manuales'!$B$2:$B$62,A11,'Casos Manuales'!$C$2:$C$62,"P0")</x:f>
        <x:v>7</x:v>
      </x:c>
      <x:c r="D11" s="40" t="n">
        <x:f>COUNTIFS('Casos Manuales'!$B$2:$B$62,A11,'Casos Manuales'!$C$2:$C$62,"P1")</x:f>
        <x:v>0</x:v>
      </x:c>
      <x:c r="E11" s="40" t="n">
        <x:f>COUNTIFS('Casos Manuales'!$B$2:$B$62,A11,'Casos Manuales'!$C$2:$C$62,"P2")</x:f>
        <x:v>1</x:v>
      </x:c>
      <x:c r="F11" s="40" t="n">
        <x:f>COUNTIFS('Casos Manuales'!$B$2:$B$62,A11,'Casos Manuales'!$L$2:$L$62,"Sin iniciar")</x:f>
        <x:v>8</x:v>
      </x:c>
      <x:c r="G11" s="40" t="n">
        <x:f>COUNTIFS('Casos Manuales'!$B$2:$B$62,A11,'Casos Manuales'!$L$2:$L$62,"Aprobado")</x:f>
        <x:v>0</x:v>
      </x:c>
      <x:c r="H11" s="40" t="n">
        <x:f>COUNTIFS('Casos Manuales'!$B$2:$B$62,A11,'Casos Manuales'!$L$2:$L$62,"Fallido")</x:f>
        <x:v>0</x:v>
      </x:c>
      <x:c r="I11" s="1"/>
      <x:c r="J11" s="1"/>
      <x:c r="K11" s="1"/>
    </x:row>
    <x:row r="12">
      <x:c r="A12" s="39" t="str">
        <x:v>Reportes</x:v>
      </x:c>
      <x:c r="B12" s="40" t="n">
        <x:f>COUNTIF('Casos Manuales'!$B$2:$B$62,A12)</x:f>
        <x:v>6</x:v>
      </x:c>
      <x:c r="C12" s="40" t="n">
        <x:f>COUNTIFS('Casos Manuales'!$B$2:$B$62,A12,'Casos Manuales'!$C$2:$C$62,"P0")</x:f>
        <x:v>2</x:v>
      </x:c>
      <x:c r="D12" s="40" t="n">
        <x:f>COUNTIFS('Casos Manuales'!$B$2:$B$62,A12,'Casos Manuales'!$C$2:$C$62,"P1")</x:f>
        <x:v>2</x:v>
      </x:c>
      <x:c r="E12" s="40" t="n">
        <x:f>COUNTIFS('Casos Manuales'!$B$2:$B$62,A12,'Casos Manuales'!$C$2:$C$62,"P2")</x:f>
        <x:v>2</x:v>
      </x:c>
      <x:c r="F12" s="40" t="n">
        <x:f>COUNTIFS('Casos Manuales'!$B$2:$B$62,A12,'Casos Manuales'!$L$2:$L$62,"Sin iniciar")</x:f>
        <x:v>6</x:v>
      </x:c>
      <x:c r="G12" s="40" t="n">
        <x:f>COUNTIFS('Casos Manuales'!$B$2:$B$62,A12,'Casos Manuales'!$L$2:$L$62,"Aprobado")</x:f>
        <x:v>0</x:v>
      </x:c>
      <x:c r="H12" s="40" t="n">
        <x:f>COUNTIFS('Casos Manuales'!$B$2:$B$62,A12,'Casos Manuales'!$L$2:$L$62,"Fallido")</x:f>
        <x:v>0</x:v>
      </x:c>
      <x:c r="I12" s="1"/>
      <x:c r="J12" s="1"/>
      <x:c r="K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>
      <x:c r="A15" s="36" t="str">
        <x:v>Guía QA</x:v>
      </x:c>
      <x:c r="B15" s="36" t="str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48" customHeight="1">
      <x:c r="A16" s="58" t="str">
        <x:v>1</x:v>
      </x:c>
      <x:c r="B16" s="59" t="str">
        <x:v>Ejecutar primero casos P0. Cubren movimientos de dinero, creación de factura, registro/liquidación de crédito y reversas de cancelación.</x:v>
      </x:c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48" customHeight="1">
      <x:c r="A17" s="60" t="str">
        <x:v>2</x:v>
      </x:c>
      <x:c r="B17" s="61" t="str">
        <x:v>Usar tenant/base QA desechable. Los casos mutan saldos, deudas, facturas, pagos y estados de órdenes.</x:v>
      </x:c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48" customHeight="1">
      <x:c r="A18" s="60" t="str">
        <x:v>3</x:v>
      </x:c>
      <x:c r="B18" s="61" t="str">
        <x:v>Registrar IDs de objetos y valores financieros antes/después en la hoja Casos Manuales.</x:v>
      </x:c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48" customHeight="1">
      <x:c r="A19" s="60" t="str">
        <x:v>4</x:v>
      </x:c>
      <x:c r="B19" s="61" t="str">
        <x:v>Importar este XLSX en Google Sheets si se necesita una hoja compartida nativa.</x:v>
      </x:c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48" customHeight="1">
      <x:c r="A20" s="60" t="str">
        <x:v>5</x:v>
      </x:c>
      <x:c r="B20" s="61" t="str">
        <x:v>Crear una Google Sheet nativa requiere el plugin Google Drive, que no está instalado en esta sesión de Codex.</x:v>
      </x:c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48" customHeight="1">
      <x:c r="A21" s="62" t="str">
        <x:v>6</x:v>
      </x:c>
      <x:c r="B21" s="63" t="str">
        <x:v>Mapa de Fuentes contiene referencias de código y pruebas para auditoría.</x:v>
      </x:c>
      <x:c r="C21" s="1"/>
      <x:c r="D21" s="1"/>
      <x:c r="E21" s="1"/>
      <x:c r="F21" s="1"/>
      <x:c r="G21" s="1"/>
      <x:c r="H21" s="1"/>
      <x:c r="I21" s="1"/>
      <x:c r="J21" s="1"/>
      <x:c r="K21" s="1"/>
    </x:row>
    <x:row r="22">
      <x:c r="A22" s="1" t="str"/>
      <x:c r="B22" s="1" t="str"/>
      <x:c r="C22" s="1"/>
      <x:c r="D22" s="1"/>
      <x:c r="E22" s="1"/>
      <x:c r="F22" s="1"/>
      <x:c r="G22" s="1"/>
      <x:c r="H22" s="1"/>
      <x:c r="I22" s="1"/>
      <x:c r="J22" s="1"/>
      <x:c r="K22" s="1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2.220000267028809" hidden="0" customWidth="1"/>
    <x:col min="3" max="3" width="7.78000020980835" hidden="0" customWidth="1"/>
    <x:col min="4" max="4" width="27.780000686645508" hidden="0" customWidth="1"/>
    <x:col min="5" max="5" width="31.110000610351562" hidden="0" customWidth="1"/>
    <x:col min="6" max="6" width="40" hidden="0" customWidth="1"/>
    <x:col min="7" max="7" width="40" hidden="0" customWidth="1"/>
    <x:col min="8" max="8" width="28.889999389648438" hidden="0" customWidth="1"/>
    <x:col min="9" max="9" width="20" hidden="0" customWidth="1"/>
    <x:col min="10" max="10" width="23.329999923706055" hidden="0" customWidth="1"/>
    <x:col min="11" max="11" width="23.329999923706055" hidden="0" customWidth="1"/>
    <x:col min="12" max="12" width="11.670000076293945" hidden="0" customWidth="1"/>
    <x:col min="13" max="13" width="13.329999923706055" hidden="0" customWidth="1"/>
    <x:col min="14" max="14" width="12.779999732971191" hidden="0" customWidth="1"/>
    <x:col min="15" max="15" width="28.889999389648438" hidden="0" customWidth="1"/>
    <x:col min="16" max="16" width="20" hidden="0" customWidth="1"/>
    <x:col min="17" max="17" width="28.889999389648438" hidden="0" customWidth="1"/>
  </x:cols>
  <x:sheetData>
    <x:row r="1" ht="15" hidden="0" customHeight="1">
      <x:c r="A1" s="15" t="str">
        <x:v>ID Caso</x:v>
      </x:c>
      <x:c r="B1" s="16" t="str">
        <x:v>Área</x:v>
      </x:c>
      <x:c r="C1" s="16" t="str">
        <x:v>Prioridad</x:v>
      </x:c>
      <x:c r="D1" s="16" t="str">
        <x:v>Escenario</x:v>
      </x:c>
      <x:c r="E1" s="16" t="str">
        <x:v>Precondiciones / Datos</x:v>
      </x:c>
      <x:c r="F1" s="16" t="str">
        <x:v>Pasos manuales</x:v>
      </x:c>
      <x:c r="G1" s="16" t="str">
        <x:v>Resultados esperados</x:v>
      </x:c>
      <x:c r="H1" s="16" t="str">
        <x:v>Post-checks / Evidencia</x:v>
      </x:c>
      <x:c r="I1" s="16" t="str">
        <x:v>Pruebas fuente</x:v>
      </x:c>
      <x:c r="J1" s="16" t="str">
        <x:v>Código fuente</x:v>
      </x:c>
      <x:c r="K1" s="16" t="str">
        <x:v>Notas QA</x:v>
      </x:c>
      <x:c r="L1" s="16" t="str">
        <x:v>Estado</x:v>
      </x:c>
      <x:c r="M1" s="16" t="str">
        <x:v>Responsable</x:v>
      </x:c>
      <x:c r="N1" s="16" t="str">
        <x:v>Fecha probada</x:v>
      </x:c>
      <x:c r="O1" s="16" t="str">
        <x:v>Resultado real</x:v>
      </x:c>
      <x:c r="P1" s="16" t="str">
        <x:v>Liga defecto</x:v>
      </x:c>
      <x:c r="Q1" s="17" t="str">
        <x:v>Notas de ejecución</x:v>
      </x:c>
    </x:row>
    <x:row r="2" ht="60" hidden="0" customHeight="1">
      <x:c r="A2" s="24" t="str">
        <x:v>PAY-001</x:v>
      </x:c>
      <x:c r="B2" s="25" t="str">
        <x:v>Pagos</x:v>
      </x:c>
      <x:c r="C2" s="25" t="str">
        <x:v>P0</x:v>
      </x:c>
      <x:c r="D2" s="19" t="str">
        <x:v>Orden de contado pagada totalmente en efectivo</x:v>
      </x:c>
      <x:c r="E2" s="19" t="str">
        <x:v>El cliente tiene una orden de contado pendiente con total_amount = 100.00 y sin pagos existentes.</x:v>
      </x:c>
      <x:c r="F2" s="19" t="str">
        <x:v>1. Abrir la pantalla de pago de la orden.
2. Usar monto 100.00 y método de pago Efectivo/cash.
3. Enviar el pago.
4. Abrir la orden y el historial de pagos del cliente.</x:v>
      </x:c>
      <x:c r="G2" s="19" t="str">
        <x:v>- La respuesta o la UI indica éxito.
- Existe un Payment completado por 100.00 con método cash.
- La orden queda pagada según total_paid y no se genera movimiento de saldo ni deuda.</x:v>
      </x:c>
      <x:c r="H2" s="19" t="str">
        <x:v>Revisar Payment admin/lista, total_paid de la orden e historial de pagos del cliente.</x:v>
      </x:c>
      <x:c r="I2" s="19" t="str">
        <x:v>payment/tests.py:76, payment/tests.py:118</x:v>
      </x:c>
      <x:c r="J2" s="19" t="str">
        <x:v>payment/services.py:285, payment/services.py:68, orders/views.py:113</x:v>
      </x:c>
      <x:c r="K2" s="19" t="str"/>
      <x:c r="L2" s="19" t="str">
        <x:v>Sin iniciar</x:v>
      </x:c>
      <x:c r="M2" s="19" t="str"/>
      <x:c r="N2" s="28"/>
      <x:c r="O2" s="19" t="str"/>
      <x:c r="P2" s="19" t="str"/>
      <x:c r="Q2" s="20" t="str"/>
    </x:row>
    <x:row r="3" ht="72" hidden="0" customHeight="1">
      <x:c r="A3" s="24" t="str">
        <x:v>PAY-002</x:v>
      </x:c>
      <x:c r="B3" s="25" t="str">
        <x:v>Pagos</x:v>
      </x:c>
      <x:c r="C3" s="25" t="str">
        <x:v>P0</x:v>
      </x:c>
      <x:c r="D3" s="19" t="str">
        <x:v>Pago dividido usa saldo del cliente más otro método</x:v>
      </x:c>
      <x:c r="E3" s="19" t="str">
        <x:v>Saldo del cliente = 30.00. Orden de contado con total_amount = 50.00.</x:v>
      </x:c>
      <x:c r="F3" s="19" t="str">
        <x:v>1. Abrir la pantalla de checkout/crear orden.
2. Confirmar que el desglose muestra 30.00 de saldo y 20.00 restante.
3. Elegir efectivo o transferencia para el monto restante.
4. Completar el pago.</x:v>
      </x:c>
      <x:c r="G3" s="19" t="str">
        <x:v>- Se crean dos pagos: balance 30.00 y el método seleccionado 20.00.
- El saldo del cliente baja a 0.00.
- Existe BalanceTransaction con transaction_type payment por 30.00.
- La orden queda en estado COMPLETED.</x:v>
      </x:c>
      <x:c r="H3" s="19" t="str">
        <x:v>El historial del cliente debe mostrar la deducción de saldo y el pago externo.</x:v>
      </x:c>
      <x:c r="I3" s="19" t="str">
        <x:v>payment/tests.py:56, orders/tests.py:1443</x:v>
      </x:c>
      <x:c r="J3" s="19" t="str">
        <x:v>payment/services.py:216, payment/services.py:68, orders/static/orders/js/create_order.js:1075</x:v>
      </x:c>
      <x:c r="K3" s="19" t="str"/>
      <x:c r="L3" s="19" t="str">
        <x:v>Sin iniciar</x:v>
      </x:c>
      <x:c r="M3" s="19" t="str"/>
      <x:c r="N3" s="28"/>
      <x:c r="O3" s="19" t="str"/>
      <x:c r="P3" s="19" t="str"/>
      <x:c r="Q3" s="20" t="str"/>
    </x:row>
    <x:row r="4" ht="60" hidden="0" customHeight="1">
      <x:c r="A4" s="24" t="str">
        <x:v>PAY-003</x:v>
      </x:c>
      <x:c r="B4" s="25" t="str">
        <x:v>Pagos</x:v>
      </x:c>
      <x:c r="C4" s="25" t="str">
        <x:v>P0</x:v>
      </x:c>
      <x:c r="D4" s="19" t="str">
        <x:v>Se rechaza pago dividido cuando la suma no coincide con el total</x:v>
      </x:c>
      <x:c r="E4" s="19" t="str">
        <x:v>Orden de contado con total_amount = 100.00.</x:v>
      </x:c>
      <x:c r="F4" s="19" t="str">
        <x:v>1. Enviar un payload de pago dividido o selección en UI cuyos montos sumen 90.00.
2. Intentar completar la orden.</x:v>
      </x:c>
      <x:c r="G4" s="19" t="str">
        <x:v>- El pago se rechaza con mensaje de que la suma de pagos debe ser igual al total de la orden.
- No se crean pagos nuevos.
- El estado de la orden no cambia a COMPLETED por este envío.</x:v>
      </x:c>
      <x:c r="H4" s="19" t="str">
        <x:v>Comparar el conteo de pagos de la orden antes y después.</x:v>
      </x:c>
      <x:c r="I4" s="19" t="str">
        <x:v>payment/tests.py:56, payment/tests.py:272</x:v>
      </x:c>
      <x:c r="J4" s="19" t="str">
        <x:v>payment/services.py:216</x:v>
      </x:c>
      <x:c r="K4" s="19" t="str"/>
      <x:c r="L4" s="19" t="str">
        <x:v>Sin iniciar</x:v>
      </x:c>
      <x:c r="M4" s="19" t="str"/>
      <x:c r="N4" s="28"/>
      <x:c r="O4" s="19" t="str"/>
      <x:c r="P4" s="19" t="str"/>
      <x:c r="Q4" s="20" t="str"/>
    </x:row>
    <x:row r="5" ht="48" hidden="0" customHeight="1">
      <x:c r="A5" s="24" t="str">
        <x:v>PAY-004</x:v>
      </x:c>
      <x:c r="B5" s="25" t="str">
        <x:v>Pagos</x:v>
      </x:c>
      <x:c r="C5" s="25" t="str">
        <x:v>P0</x:v>
      </x:c>
      <x:c r="D5" s="19" t="str">
        <x:v>Pago con saldo insuficiente es rechazado</x:v>
      </x:c>
      <x:c r="E5" s="19" t="str">
        <x:v>Saldo del cliente = 30.00. Total de la orden o monto de pago = 50.00.</x:v>
      </x:c>
      <x:c r="F5" s="19" t="str">
        <x:v>1. Intentar pagar 50.00 usando Saldo/balance.
2. Enviar el pago.</x:v>
      </x:c>
      <x:c r="G5" s="19" t="str">
        <x:v>- El pago se rechaza con mensaje de saldo insuficiente.
- No se crea Payment completado con método balance.
- El saldo del cliente permanece en 30.00.</x:v>
      </x:c>
      <x:c r="H5" s="19" t="str">
        <x:v>Revisar saldo del cliente y lista de BalanceTransaction.</x:v>
      </x:c>
      <x:c r="I5" s="19" t="str">
        <x:v>orders/tests.py:1317, tests/test_balance_credit_integration.py:190</x:v>
      </x:c>
      <x:c r="J5" s="19" t="str">
        <x:v>payment/services.py:68, payment/models.py:69, clients/services/balance_service.py:120</x:v>
      </x:c>
      <x:c r="K5" s="19" t="str"/>
      <x:c r="L5" s="19" t="str">
        <x:v>Sin iniciar</x:v>
      </x:c>
      <x:c r="M5" s="19" t="str"/>
      <x:c r="N5" s="28"/>
      <x:c r="O5" s="19" t="str"/>
      <x:c r="P5" s="19" t="str"/>
      <x:c r="Q5" s="20" t="str"/>
    </x:row>
    <x:row r="6" ht="60" hidden="0" customHeight="1">
      <x:c r="A6" s="24" t="str">
        <x:v>PAY-005</x:v>
      </x:c>
      <x:c r="B6" s="25" t="str">
        <x:v>Pagos</x:v>
      </x:c>
      <x:c r="C6" s="25" t="str">
        <x:v>P1</x:v>
      </x:c>
      <x:c r="D6" s="19" t="str">
        <x:v>Cantidad cobrada mayor al total agrega excedente al saldo del cliente</x:v>
      </x:c>
      <x:c r="E6" s="19" t="str">
        <x:v>Orden de contado con total_amount = 100.00. Conocer el saldo inicial del cliente.</x:v>
      </x:c>
      <x:c r="F6" s="19" t="str">
        <x:v>1. Completar checkout con cantidad_cobrada = 120.00.
2. Usar un método de pago válido para el total de la orden.
3. Abrir el detalle del cliente después del pago.</x:v>
      </x:c>
      <x:c r="G6" s="19" t="str">
        <x:v>- El pago se procesa correctamente.
- La orden guarda cantidad_cobrada = 120.00.
- El saldo del cliente aumenta en 20.00.
- BalanceTransaction tiene transaction_type added_in_order y referencia la orden.</x:v>
      </x:c>
      <x:c r="H6" s="19" t="str">
        <x:v>Verificar que la respuesta muestre balance_added/new_client_balance cuando aplique.</x:v>
      </x:c>
      <x:c r="I6" s="19" t="str">
        <x:v>payment/tests.py:43</x:v>
      </x:c>
      <x:c r="J6" s="19" t="str">
        <x:v>payment/services.py:337, clients/services/balance_service.py:59</x:v>
      </x:c>
      <x:c r="K6" s="19" t="str"/>
      <x:c r="L6" s="19" t="str">
        <x:v>Sin iniciar</x:v>
      </x:c>
      <x:c r="M6" s="19" t="str"/>
      <x:c r="N6" s="28"/>
      <x:c r="O6" s="19" t="str"/>
      <x:c r="P6" s="19" t="str"/>
      <x:c r="Q6" s="20" t="str"/>
    </x:row>
    <x:row r="7" ht="60" hidden="0" customHeight="1">
      <x:c r="A7" s="24" t="str">
        <x:v>PAY-006</x:v>
      </x:c>
      <x:c r="B7" s="25" t="str">
        <x:v>Pagos</x:v>
      </x:c>
      <x:c r="C7" s="25" t="str">
        <x:v>P0</x:v>
      </x:c>
      <x:c r="D7" s="19" t="str">
        <x:v>Cantidad cobrada menor al total de la orden es rechazada</x:v>
      </x:c>
      <x:c r="E7" s="19" t="str">
        <x:v>Orden con total_amount = 100.00.</x:v>
      </x:c>
      <x:c r="F7" s="19" t="str">
        <x:v>1. Intentar checkout con cantidad_cobrada = 99.99.
2. Enviar el pago.</x:v>
      </x:c>
      <x:c r="G7" s="19" t="str">
        <x:v>- El envío es rechazado.
- El error indica que la cantidad cobrada no puede ser menor al total de la orden.
- No se agrega saldo y no debe registrarse pago exitoso por este envío.</x:v>
      </x:c>
      <x:c r="H7" s="19" t="str">
        <x:v>Comparar pagos y saldo antes/después.</x:v>
      </x:c>
      <x:c r="I7" s="19" t="str">
        <x:v>payment/tests.py:35</x:v>
      </x:c>
      <x:c r="J7" s="19" t="str">
        <x:v>payment/services.py:33, payment/services.py:337</x:v>
      </x:c>
      <x:c r="K7" s="19" t="str"/>
      <x:c r="L7" s="19" t="str">
        <x:v>Sin iniciar</x:v>
      </x:c>
      <x:c r="M7" s="19" t="str"/>
      <x:c r="N7" s="28"/>
      <x:c r="O7" s="19" t="str"/>
      <x:c r="P7" s="19" t="str"/>
      <x:c r="Q7" s="20" t="str"/>
    </x:row>
    <x:row r="8" ht="36" hidden="0" customHeight="1">
      <x:c r="A8" s="24" t="str">
        <x:v>PAY-007</x:v>
      </x:c>
      <x:c r="B8" s="25" t="str">
        <x:v>Pagos</x:v>
      </x:c>
      <x:c r="C8" s="25" t="str">
        <x:v>P1</x:v>
      </x:c>
      <x:c r="D8" s="19" t="str">
        <x:v>Método de pago inválido en liquidación es rechazado</x:v>
      </x:c>
      <x:c r="E8" s="19" t="str">
        <x:v>Existe una orden y el usuario inició sesión.</x:v>
      </x:c>
      <x:c r="F8" s="19" t="str">
        <x:v>1. Enviar una solicitud de pago con un método fuera del conjunto permitido.
2. Observar la respuesta.</x:v>
      </x:c>
      <x:c r="G8" s="19" t="str">
        <x:v>- El pago se rechaza con 'Método de pago inválido para este flujo'.
- No se persiste ningún Payment.</x:v>
      </x:c>
      <x:c r="H8" s="19" t="str">
        <x:v>Revisar el conteo de pagos de la orden.</x:v>
      </x:c>
      <x:c r="I8" s="19" t="str">
        <x:v>payment/tests.py:153</x:v>
      </x:c>
      <x:c r="J8" s="19" t="str">
        <x:v>payment/services.py:12, payment/services.py:68</x:v>
      </x:c>
      <x:c r="K8" s="19" t="str"/>
      <x:c r="L8" s="19" t="str">
        <x:v>Sin iniciar</x:v>
      </x:c>
      <x:c r="M8" s="19" t="str"/>
      <x:c r="N8" s="28"/>
      <x:c r="O8" s="19" t="str"/>
      <x:c r="P8" s="19" t="str"/>
      <x:c r="Q8" s="20" t="str"/>
    </x:row>
    <x:row r="9" ht="36" hidden="0" customHeight="1">
      <x:c r="A9" s="24" t="str">
        <x:v>PAY-008</x:v>
      </x:c>
      <x:c r="B9" s="25" t="str">
        <x:v>Pagos</x:v>
      </x:c>
      <x:c r="C9" s="25" t="str">
        <x:v>P2</x:v>
      </x:c>
      <x:c r="D9" s="19" t="str">
        <x:v>Las notas de checkout se guardan en la orden</x:v>
      </x:c>
      <x:c r="E9" s="19" t="str">
        <x:v>Existe una orden pendiente.</x:v>
      </x:c>
      <x:c r="F9" s="19" t="str">
        <x:v>1. Capturar una nota durante checkout/pago.
2. Completar o enviar la solicitud de pago.
3. Reabrir la orden.</x:v>
      </x:c>
      <x:c r="G9" s="19" t="str">
        <x:v>- Las notas de la orden se guardan sin espacios sobrantes.
- Las notas en blanco se guardan como vacío/null.</x:v>
      </x:c>
      <x:c r="H9" s="19" t="str">
        <x:v>Revisar el campo en detalle o admin de la orden.</x:v>
      </x:c>
      <x:c r="I9" s="19" t="str">
        <x:v>orders/tests.py:333, orders/tests.py:347</x:v>
      </x:c>
      <x:c r="J9" s="19" t="str">
        <x:v>payment/services.py:33, orders/views.py:463</x:v>
      </x:c>
      <x:c r="K9" s="19" t="str"/>
      <x:c r="L9" s="19" t="str">
        <x:v>Sin iniciar</x:v>
      </x:c>
      <x:c r="M9" s="19" t="str"/>
      <x:c r="N9" s="28"/>
      <x:c r="O9" s="19" t="str"/>
      <x:c r="P9" s="19" t="str"/>
      <x:c r="Q9" s="20" t="str"/>
    </x:row>
    <x:row r="10" ht="48" hidden="0" customHeight="1">
      <x:c r="A10" s="24" t="str">
        <x:v>PAY-009</x:v>
      </x:c>
      <x:c r="B10" s="25" t="str">
        <x:v>Pagos</x:v>
      </x:c>
      <x:c r="C10" s="25" t="str">
        <x:v>P1</x:v>
      </x:c>
      <x:c r="D10" s="19" t="str">
        <x:v>El marcador pending_credit completado no cuenta como dinero pagado</x:v>
      </x:c>
      <x:c r="E10" s="19" t="str">
        <x:v>La orden a crédito solo tiene un Payment pending_credit cambiado a completado y no tiene pago cash/balance.</x:v>
      </x:c>
      <x:c r="F10" s="19" t="str">
        <x:v>1. Abrir la orden o los totales de factura/pago.
2. Comparar total_paid contra total_amount.</x:v>
      </x:c>
      <x:c r="G10" s="19" t="str">
        <x:v>- El total_paid de la orden es 0.00 para el marcador pending_credit.
- La orden sigue apareciendo como no pagada hasta que exista un pago completado distinto de pending_credit.</x:v>
      </x:c>
      <x:c r="H10" s="19" t="str">
        <x:v>Revisar filtros de órdenes no pagadas y total_payments de factura.</x:v>
      </x:c>
      <x:c r="I10" s="19" t="str">
        <x:v>payment/tests.py:284</x:v>
      </x:c>
      <x:c r="J10" s="19" t="str">
        <x:v>invoice/models.py:47, invoice/models.py:136, payment/models.py:49</x:v>
      </x:c>
      <x:c r="K10" s="19" t="str"/>
      <x:c r="L10" s="19" t="str">
        <x:v>Sin iniciar</x:v>
      </x:c>
      <x:c r="M10" s="19" t="str"/>
      <x:c r="N10" s="28"/>
      <x:c r="O10" s="19" t="str"/>
      <x:c r="P10" s="19" t="str"/>
      <x:c r="Q10" s="20" t="str"/>
    </x:row>
    <x:row r="11" ht="60" hidden="0" customHeight="1">
      <x:c r="A11" s="24" t="str">
        <x:v>BAL-001</x:v>
      </x:c>
      <x:c r="B11" s="25" t="str">
        <x:v>Balance</x:v>
      </x:c>
      <x:c r="C11" s="25" t="str">
        <x:v>P0</x:v>
      </x:c>
      <x:c r="D11" s="19" t="str">
        <x:v>Depósito manual de saldo actualiza saldo y auditoría</x:v>
      </x:c>
      <x:c r="E11" s="19" t="str">
        <x:v>Existe un cliente activo. Usuario QA con sesión iniciada.</x:v>
      </x:c>
      <x:c r="F11" s="19" t="str">
        <x:v>1. Abrir Agregar/Gestionar saldo del cliente.
2. Seleccionar tipo de transacción Depósito.
3. Capturar monto 200.00 y notas detalladas de al menos 10 caracteres.
4. Enviar y abrir el historial de pagos del cliente.</x:v>
      </x:c>
      <x:c r="G11" s="19" t="str">
        <x:v>- El saldo del cliente aumenta en 200.00.
- Se crea BalanceTransaction con saldos antes/después, created_by y notas.
- El mensaje de éxito muestra el saldo actualizado.</x:v>
      </x:c>
      <x:c r="H11" s="19" t="str">
        <x:v>Verificar en admin/historial de BalanceTransaction.</x:v>
      </x:c>
      <x:c r="I11" s="19" t="str">
        <x:v>tests/test_balance_credit_history.py:1</x:v>
      </x:c>
      <x:c r="J11" s="19" t="str">
        <x:v>clients/views.py:942, clients/forms.py:12, clients/services/balance_service.py:59</x:v>
      </x:c>
      <x:c r="K11" s="19" t="str"/>
      <x:c r="L11" s="19" t="str">
        <x:v>Sin iniciar</x:v>
      </x:c>
      <x:c r="M11" s="19" t="str"/>
      <x:c r="N11" s="28"/>
      <x:c r="O11" s="19" t="str"/>
      <x:c r="P11" s="19" t="str"/>
      <x:c r="Q11" s="20" t="str"/>
    </x:row>
    <x:row r="12" ht="36" hidden="0" customHeight="1">
      <x:c r="A12" s="24" t="str">
        <x:v>BAL-002</x:v>
      </x:c>
      <x:c r="B12" s="25" t="str">
        <x:v>Balance</x:v>
      </x:c>
      <x:c r="C12" s="25" t="str">
        <x:v>P1</x:v>
      </x:c>
      <x:c r="D12" s="19" t="str">
        <x:v>Depósito manual exige monto positivo y notas significativas</x:v>
      </x:c>
      <x:c r="E12" s="19" t="str">
        <x:v>Existe un cliente activo.</x:v>
      </x:c>
      <x:c r="F12" s="19" t="str">
        <x:v>1. Abrir Agregar saldo.
2. Intentar monto 0.00 o notas menores a 10 caracteres.
3. Enviar.</x:v>
      </x:c>
      <x:c r="G12" s="19" t="str">
        <x:v>- La validación del formulario bloquea el envío.
- No se crea BalanceTransaction.
- El saldo del cliente no cambia.</x:v>
      </x:c>
      <x:c r="H12" s="19" t="str">
        <x:v>Confirmar mensajes de validación y ausencia de nueva transacción.</x:v>
      </x:c>
      <x:c r="I12" s="19" t="str">
        <x:v>tests/test_balance_credit_history.py:1</x:v>
      </x:c>
      <x:c r="J12" s="19" t="str">
        <x:v>clients/forms.py:12, clients/services/balance_service.py:59</x:v>
      </x:c>
      <x:c r="K12" s="19" t="str"/>
      <x:c r="L12" s="19" t="str">
        <x:v>Sin iniciar</x:v>
      </x:c>
      <x:c r="M12" s="19" t="str"/>
      <x:c r="N12" s="28"/>
      <x:c r="O12" s="19" t="str"/>
      <x:c r="P12" s="19" t="str"/>
      <x:c r="Q12" s="20" t="str"/>
    </x:row>
    <x:row r="13" ht="48" hidden="0" customHeight="1">
      <x:c r="A13" s="24" t="str">
        <x:v>DEBT-001</x:v>
      </x:c>
      <x:c r="B13" s="25" t="str">
        <x:v>Deuda</x:v>
      </x:c>
      <x:c r="C13" s="25" t="str">
        <x:v>P0</x:v>
      </x:c>
      <x:c r="D13" s="19" t="str">
        <x:v>Pago manual de deuda reduce current_debt</x:v>
      </x:c>
      <x:c r="E13" s="19" t="str">
        <x:v>Cliente con current_debt = 300.00 y credit_limit configurado.</x:v>
      </x:c>
      <x:c r="F13" s="19" t="str">
        <x:v>1. Abrir Gestionar crédito/pay-credit del cliente.
2. Seleccionar Pago de deuda.
3. Capturar monto 100.00, descripción y notas detalladas.
4. Enviar y abrir el detalle del cliente.</x:v>
      </x:c>
      <x:c r="G13" s="19" t="str">
        <x:v>- El current_debt del cliente baja a 200.00.
- Se crea CreditTransaction transaction_type payment con debt_before 300.00 y debt_after 200.00.
- El crédito disponible aumenta en 100.00.</x:v>
      </x:c>
      <x:c r="H13" s="19" t="str">
        <x:v>Verificar CreditTransaction y totales del reporte global de crédito.</x:v>
      </x:c>
      <x:c r="I13" s="19" t="str">
        <x:v>tests/test_balance_credit_history.py:1</x:v>
      </x:c>
      <x:c r="J13" s="19" t="str">
        <x:v>clients/views.py:854, clients/forms.py:64, clients/services/balance_service.py:261</x:v>
      </x:c>
      <x:c r="K13" s="19" t="str"/>
      <x:c r="L13" s="19" t="str">
        <x:v>Sin iniciar</x:v>
      </x:c>
      <x:c r="M13" s="19" t="str"/>
      <x:c r="N13" s="28"/>
      <x:c r="O13" s="19" t="str"/>
      <x:c r="P13" s="19" t="str"/>
      <x:c r="Q13" s="20" t="str"/>
    </x:row>
    <x:row r="14" ht="60" hidden="0" customHeight="1">
      <x:c r="A14" s="24" t="str">
        <x:v>DEBT-002</x:v>
      </x:c>
      <x:c r="B14" s="25" t="str">
        <x:v>Deuda</x:v>
      </x:c>
      <x:c r="C14" s="25" t="str">
        <x:v>P0</x:v>
      </x:c>
      <x:c r="D14" s="19" t="str">
        <x:v>Pagar deuda con saldo actualiza ambos libros</x:v>
      </x:c>
      <x:c r="E14" s="19" t="str">
        <x:v>Cliente con balance = 150.00 y current_debt = 200.00.</x:v>
      </x:c>
      <x:c r="F14" s="19" t="str">
        <x:v>1. Abrir Gestionar crédito/pay-credit.
2. Seleccionar Pago con Saldo.
3. Capturar monto 100.00 con descripción y notas válidas.
4. Enviar.</x:v>
      </x:c>
      <x:c r="G14" s="19" t="str">
        <x:v>- El saldo del cliente baja a 50.00.
- El current_debt baja a 100.00.
- Se crea BalanceTransaction transaction_type payment.
- Se crea CreditTransaction transaction_type payment_from_balance.</x:v>
      </x:c>
      <x:c r="H14" s="19" t="str">
        <x:v>Revisar ambas secciones de historial en el detalle del cliente.</x:v>
      </x:c>
      <x:c r="I14" s="19" t="str">
        <x:v>tests/test_balance_credit_history.py:1</x:v>
      </x:c>
      <x:c r="J14" s="19" t="str">
        <x:v>clients/views.py:854, clients/forms.py:64, clients/services/balance_service.py:488</x:v>
      </x:c>
      <x:c r="K14" s="19" t="str"/>
      <x:c r="L14" s="19" t="str">
        <x:v>Sin iniciar</x:v>
      </x:c>
      <x:c r="M14" s="19" t="str"/>
      <x:c r="N14" s="28"/>
      <x:c r="O14" s="19" t="str"/>
      <x:c r="P14" s="19" t="str"/>
      <x:c r="Q14" s="20" t="str"/>
    </x:row>
    <x:row r="15" ht="48" hidden="0" customHeight="1">
      <x:c r="A15" s="24" t="str">
        <x:v>DEBT-003</x:v>
      </x:c>
      <x:c r="B15" s="25" t="str">
        <x:v>Deuda</x:v>
      </x:c>
      <x:c r="C15" s="25" t="str">
        <x:v>P1</x:v>
      </x:c>
      <x:c r="D15" s="19" t="str">
        <x:v>Pago de deuda con saldo rechaza saldo insuficiente</x:v>
      </x:c>
      <x:c r="E15" s="19" t="str">
        <x:v>Cliente con balance = 50.00 y current_debt = 200.00.</x:v>
      </x:c>
      <x:c r="F15" s="19" t="str">
        <x:v>1. Abrir Gestionar crédito/pay-credit.
2. Seleccionar Pago con Saldo.
3. Capturar monto 100.00.
4. Enviar.</x:v>
      </x:c>
      <x:c r="G15" s="19" t="str">
        <x:v>- Formulario o servicio bloquea el envío con Saldo insuficiente.
- El saldo y la deuda del cliente no cambian.
- No se crean transacciones emparejadas.</x:v>
      </x:c>
      <x:c r="H15" s="19" t="str">
        <x:v>Revisar conteos de BalanceTransaction y CreditTransaction.</x:v>
      </x:c>
      <x:c r="I15" s="19" t="str">
        <x:v>tests/test_balance_credit_history.py:1</x:v>
      </x:c>
      <x:c r="J15" s="19" t="str">
        <x:v>clients/forms.py:64, clients/services/balance_service.py:488</x:v>
      </x:c>
      <x:c r="K15" s="19" t="str"/>
      <x:c r="L15" s="19" t="str">
        <x:v>Sin iniciar</x:v>
      </x:c>
      <x:c r="M15" s="19" t="str"/>
      <x:c r="N15" s="28"/>
      <x:c r="O15" s="19" t="str"/>
      <x:c r="P15" s="19" t="str"/>
      <x:c r="Q15" s="20" t="str"/>
    </x:row>
    <x:row r="16" ht="36" hidden="0" customHeight="1">
      <x:c r="A16" s="24" t="str">
        <x:v>DEBT-004</x:v>
      </x:c>
      <x:c r="B16" s="25" t="str">
        <x:v>Deuda</x:v>
      </x:c>
      <x:c r="C16" s="25" t="str">
        <x:v>P1</x:v>
      </x:c>
      <x:c r="D16" s="19" t="str">
        <x:v>Pago de deuda no puede exceder la deuda actual</x:v>
      </x:c>
      <x:c r="E16" s="19" t="str">
        <x:v>Cliente con current_debt = 80.00.</x:v>
      </x:c>
      <x:c r="F16" s="19" t="str">
        <x:v>1. Abrir Gestionar crédito/pay-credit.
2. Seleccionar Pago de deuda o Condonación de deuda.
3. Capturar monto 100.00 y enviar.</x:v>
      </x:c>
      <x:c r="G16" s="19" t="str">
        <x:v>- La validación bloquea el envío porque el monto excede la deuda actual.
- La deuda permanece en 80.00.</x:v>
      </x:c>
      <x:c r="H16" s="19" t="str">
        <x:v>Confirmar error a nivel de campo monto.</x:v>
      </x:c>
      <x:c r="I16" s="19" t="str">
        <x:v>tests/test_balance_credit_history.py:1</x:v>
      </x:c>
      <x:c r="J16" s="19" t="str">
        <x:v>clients/forms.py:64</x:v>
      </x:c>
      <x:c r="K16" s="19" t="str"/>
      <x:c r="L16" s="19" t="str">
        <x:v>Sin iniciar</x:v>
      </x:c>
      <x:c r="M16" s="19" t="str"/>
      <x:c r="N16" s="28"/>
      <x:c r="O16" s="19" t="str"/>
      <x:c r="P16" s="19" t="str"/>
      <x:c r="Q16" s="20" t="str"/>
    </x:row>
    <x:row r="17" ht="48" hidden="0" customHeight="1">
      <x:c r="A17" s="24" t="str">
        <x:v>DEBT-005</x:v>
      </x:c>
      <x:c r="B17" s="25" t="str">
        <x:v>Deuda</x:v>
      </x:c>
      <x:c r="C17" s="25" t="str">
        <x:v>P1</x:v>
      </x:c>
      <x:c r="D17" s="19" t="str">
        <x:v>Cambio de límite de crédito crea transacción de auditoría</x:v>
      </x:c>
      <x:c r="E17" s="19" t="str">
        <x:v>Cliente con credit_limit = 500.00 y current_debt = 100.00.</x:v>
      </x:c>
      <x:c r="F17" s="19" t="str">
        <x:v>1. Abrir Gestionar crédito/pay-credit.
2. Seleccionar Cambio de límite de crédito.
3. Capturar nuevo límite 800.00 y notas válidas.
4. Enviar.</x:v>
      </x:c>
      <x:c r="G17" s="19" t="str">
        <x:v>- El credit_limit del cliente cambia a 800.00.
- Se crea CreditTransaction transaction_type limit_change.
- CreditTransaction registra credit_limit_before 500.00 y credit_limit_after 800.00.</x:v>
      </x:c>
      <x:c r="H17" s="19" t="str">
        <x:v>Revisar panel de crédito del cliente y crédito disponible en el reporte.</x:v>
      </x:c>
      <x:c r="I17" s="19" t="str">
        <x:v>tests/test_balance_credit_history.py:1</x:v>
      </x:c>
      <x:c r="J17" s="19" t="str">
        <x:v>clients/views.py:854, clients/services/balance_service.py:431</x:v>
      </x:c>
      <x:c r="K17" s="19" t="str"/>
      <x:c r="L17" s="19" t="str">
        <x:v>Sin iniciar</x:v>
      </x:c>
      <x:c r="M17" s="19" t="str"/>
      <x:c r="N17" s="28"/>
      <x:c r="O17" s="19" t="str"/>
      <x:c r="P17" s="19" t="str"/>
      <x:c r="Q17" s="20" t="str"/>
    </x:row>
    <x:row r="18" ht="72" hidden="0" customHeight="1">
      <x:c r="A18" s="24" t="str">
        <x:v>CRED-001</x:v>
      </x:c>
      <x:c r="B18" s="25" t="str">
        <x:v>Órdenes a crédito</x:v>
      </x:c>
      <x:c r="C18" s="25" t="str">
        <x:v>P0</x:v>
      </x:c>
      <x:c r="D18" s="19" t="str">
        <x:v>Registrar orden a crédito sin saldo</x:v>
      </x:c>
      <x:c r="E18" s="19" t="str">
        <x:v>Cliente con balance = 0.00, credit_limit = 500.00, current_debt = 0.00, can_pay_with_credit = true. Orden tipo credito, total 100.00.</x:v>
      </x:c>
      <x:c r="F18" s="19" t="str">
        <x:v>1. Abrir checkout de la orden.
2. Seleccionar tipo de orden credito.
3. Finalizar la orden sin elegir método de pago en efectivo.
4. Abrir detalle del cliente y pagos de la orden.</x:v>
      </x:c>
      <x:c r="G18" s="19" t="str">
        <x:v>- La orden queda en estado COMPLETED.
- Existe marcador Payment con method pending_credit, status pending, amount 100.00.
- El current_debt del cliente aumenta a 100.00.
- Existe CreditTransaction purchase referenciando la orden/pago.</x:v>
      </x:c>
      <x:c r="H18" s="19" t="str">
        <x:v>Confirmar que el crédito disponible baja a 400.00.</x:v>
      </x:c>
      <x:c r="I18" s="19" t="str">
        <x:v>payment/tests.py:92, payment/tests.py:344</x:v>
      </x:c>
      <x:c r="J18" s="19" t="str">
        <x:v>payment/services.py:403, payment/services.py:423, clients/services/balance_service.py:184</x:v>
      </x:c>
      <x:c r="K18" s="19" t="str"/>
      <x:c r="L18" s="19" t="str">
        <x:v>Sin iniciar</x:v>
      </x:c>
      <x:c r="M18" s="19" t="str"/>
      <x:c r="N18" s="28"/>
      <x:c r="O18" s="19" t="str"/>
      <x:c r="P18" s="19" t="str"/>
      <x:c r="Q18" s="20" t="str"/>
    </x:row>
    <x:row r="19" ht="48" hidden="0" customHeight="1">
      <x:c r="A19" s="24" t="str">
        <x:v>CRED-002</x:v>
      </x:c>
      <x:c r="B19" s="25" t="str">
        <x:v>Órdenes a crédito</x:v>
      </x:c>
      <x:c r="C19" s="25" t="str">
        <x:v>P0</x:v>
      </x:c>
      <x:c r="D19" s="19" t="str">
        <x:v>Orden a crédito usa primero el saldo y acredita solo el restante</x:v>
      </x:c>
      <x:c r="E19" s="19" t="str">
        <x:v>Cliente con balance = 30.00, credit_limit = 100.00, current_debt = 0.00. Orden a crédito total = 50.00.</x:v>
      </x:c>
      <x:c r="F19" s="19" t="str">
        <x:v>1. Crear una orden a crédito por 50.00.
2. Finalizar/registrar la orden a crédito.
3. Abrir pagos y libros.</x:v>
      </x:c>
      <x:c r="G19" s="19" t="str">
        <x:v>- Se crea pago balance de 30.00 y queda completado.
- Se crea marcador pending_credit por 20.00.
- El saldo del cliente queda en 0.00.
- El current_debt del cliente queda en 20.00.</x:v>
      </x:c>
      <x:c r="H19" s="19" t="str">
        <x:v>Revisar referencias en transacciones de saldo y crédito.</x:v>
      </x:c>
      <x:c r="I19" s="19" t="str">
        <x:v>orders/tests.py:1443, payment/tests.py:396</x:v>
      </x:c>
      <x:c r="J19" s="19" t="str">
        <x:v>payment/services.py:423, payment/services.py:68, clients/services/balance_service.py:184</x:v>
      </x:c>
      <x:c r="K19" s="19" t="str"/>
      <x:c r="L19" s="19" t="str">
        <x:v>Sin iniciar</x:v>
      </x:c>
      <x:c r="M19" s="19" t="str"/>
      <x:c r="N19" s="28"/>
      <x:c r="O19" s="19" t="str"/>
      <x:c r="P19" s="19" t="str"/>
      <x:c r="Q19" s="20" t="str"/>
    </x:row>
    <x:row r="20" ht="60" hidden="0" customHeight="1">
      <x:c r="A20" s="24" t="str">
        <x:v>CRED-003</x:v>
      </x:c>
      <x:c r="B20" s="25" t="str">
        <x:v>Órdenes a crédito</x:v>
      </x:c>
      <x:c r="C20" s="25" t="str">
        <x:v>P1</x:v>
      </x:c>
      <x:c r="D20" s="19" t="str">
        <x:v>Orden a crédito cubierta totalmente con saldo no crea deuda</x:v>
      </x:c>
      <x:c r="E20" s="19" t="str">
        <x:v>Cliente con balance = 150.00 y orden a crédito total = 100.00.</x:v>
      </x:c>
      <x:c r="F20" s="19" t="str">
        <x:v>1. Crear y finalizar una orden tipo credito.
2. Abrir pagos de la orden y detalle del cliente.</x:v>
      </x:c>
      <x:c r="G20" s="19" t="str">
        <x:v>- La orden se completa solo con pago balance.
- No queda marcador pending_credit pendiente.
- El current_debt del cliente no cambia.
- La respuesta/mensaje indica que la orden fue pagada completamente con saldo disponible.</x:v>
      </x:c>
      <x:c r="H20" s="19" t="str">
        <x:v>Confirmar que no exista CreditTransaction purchase para esta orden.</x:v>
      </x:c>
      <x:c r="I20" s="19" t="str">
        <x:v>orders/tests.py:1423</x:v>
      </x:c>
      <x:c r="J20" s="19" t="str">
        <x:v>payment/services.py:423</x:v>
      </x:c>
      <x:c r="K20" s="19" t="str"/>
      <x:c r="L20" s="19" t="str">
        <x:v>Sin iniciar</x:v>
      </x:c>
      <x:c r="M20" s="19" t="str"/>
      <x:c r="N20" s="28"/>
      <x:c r="O20" s="19" t="str"/>
      <x:c r="P20" s="19" t="str"/>
      <x:c r="Q20" s="20" t="str"/>
    </x:row>
    <x:row r="21" ht="60" hidden="0" customHeight="1">
      <x:c r="A21" s="24" t="str">
        <x:v>CRED-004</x:v>
      </x:c>
      <x:c r="B21" s="25" t="str">
        <x:v>Órdenes a crédito</x:v>
      </x:c>
      <x:c r="C21" s="25" t="str">
        <x:v>P0</x:v>
      </x:c>
      <x:c r="D21" s="19" t="str">
        <x:v>Paro de emergencia de crédito bloquea nueva venta a crédito</x:v>
      </x:c>
      <x:c r="E21" s="19" t="str">
        <x:v>Cliente con balance = 30.00, credit_limit = 200.00, current_debt = 0.00, can_pay_with_credit = false. Orden a crédito total = 100.00.</x:v>
      </x:c>
      <x:c r="F21" s="19" t="str">
        <x:v>1. Crear una orden a crédito por 100.00.
2. Intentar finalizar/registrar como credito.</x:v>
      </x:c>
      <x:c r="G21" s="19" t="str">
        <x:v>- La solicitud se rechaza con Cliente no puede pagar con credito.
- El saldo del cliente permanece en 30.00.
- El current_debt permanece en 0.00.
- No se crea Payment ni CreditTransaction.</x:v>
      </x:c>
      <x:c r="H21" s="19" t="str">
        <x:v>Debe bloquear aunque el límite numérico de crédito esté disponible.</x:v>
      </x:c>
      <x:c r="I21" s="19" t="str">
        <x:v>payment/tests.py:316, clients/tests_credit_management.py:459</x:v>
      </x:c>
      <x:c r="J21" s="19" t="str">
        <x:v>clients/models.py:199, clients/services/balance_service.py:184, payment/services.py:423</x:v>
      </x:c>
      <x:c r="K21" s="19" t="str"/>
      <x:c r="L21" s="19" t="str">
        <x:v>Sin iniciar</x:v>
      </x:c>
      <x:c r="M21" s="19" t="str"/>
      <x:c r="N21" s="28"/>
      <x:c r="O21" s="19" t="str"/>
      <x:c r="P21" s="19" t="str"/>
      <x:c r="Q21" s="20" t="str"/>
    </x:row>
    <x:row r="22" ht="48" hidden="0" customHeight="1">
      <x:c r="A22" s="24" t="str">
        <x:v>CRED-005</x:v>
      </x:c>
      <x:c r="B22" s="25" t="str">
        <x:v>Órdenes a crédito</x:v>
      </x:c>
      <x:c r="C22" s="25" t="str">
        <x:v>P0</x:v>
      </x:c>
      <x:c r="D22" s="19" t="str">
        <x:v>Venta a crédito no puede exceder el límite duro después de aplicar saldo</x:v>
      </x:c>
      <x:c r="E22" s="19" t="str">
        <x:v>Cliente con balance = 10.00, credit_limit = 100.00, current_debt = 80.00. Orden a crédito total = 50.00.</x:v>
      </x:c>
      <x:c r="F22" s="19" t="str">
        <x:v>1. Intentar registrar la orden como credito.
2. Observar error y estado financiero.</x:v>
      </x:c>
      <x:c r="G22" s="19" t="str">
        <x:v>- La solicitud se rechaza porque la venta excede el límite de crédito.
- El saldo permanece en 10.00 y current_debt en 80.00.
- No se crean marcadores de pago.</x:v>
      </x:c>
      <x:c r="H22" s="19" t="str">
        <x:v>Revisar el crédito disponible mostrado al usuario.</x:v>
      </x:c>
      <x:c r="I22" s="19" t="str">
        <x:v>payment/tests.py:396, clients/tests_credit_management.py:478</x:v>
      </x:c>
      <x:c r="J22" s="19" t="str">
        <x:v>clients/services/balance_service.py:184, payment/services.py:423</x:v>
      </x:c>
      <x:c r="K22" s="19" t="str"/>
      <x:c r="L22" s="19" t="str">
        <x:v>Sin iniciar</x:v>
      </x:c>
      <x:c r="M22" s="19" t="str"/>
      <x:c r="N22" s="28"/>
      <x:c r="O22" s="19" t="str"/>
      <x:c r="P22" s="19" t="str"/>
      <x:c r="Q22" s="20" t="str"/>
    </x:row>
    <x:row r="23" ht="48" hidden="0" customHeight="1">
      <x:c r="A23" s="24" t="str">
        <x:v>CRED-006</x:v>
      </x:c>
      <x:c r="B23" s="25" t="str">
        <x:v>Órdenes a crédito</x:v>
      </x:c>
      <x:c r="C23" s="25" t="str">
        <x:v>P1</x:v>
      </x:c>
      <x:c r="D23" s="19" t="str">
        <x:v>Crédito vencido se reporta pero no bloquea nueva venta si hay límite</x:v>
      </x:c>
      <x:c r="E23" s="19" t="str">
        <x:v>Cliente con compra a crédito vencida por 100.00, credit_limit = 500.00, current_debt = 100.00, can_pay_with_credit = true.</x:v>
      </x:c>
      <x:c r="F23" s="19" t="str">
        <x:v>1. Confirmar que detalle/reporte del cliente muestra crédito vencido.
2. Crear una nueva orden a crédito por 50.00.
3. Registrarla como credito.</x:v>
      </x:c>
      <x:c r="G23" s="19" t="str">
        <x:v>- La nueva orden a crédito se procesa correctamente.
- El current_debt del cliente queda en 150.00.
- Existe nuevo marcador pending_credit por 50.00.
- El vencimiento sigue visible para la orden anterior.</x:v>
      </x:c>
      <x:c r="H23" s="19" t="str">
        <x:v>Revisar sección de vencidos en detalle del cliente y reporte global de crédito.</x:v>
      </x:c>
      <x:c r="I23" s="19" t="str">
        <x:v>payment/tests.py:344, clients/tests_credit_management.py:497</x:v>
      </x:c>
      <x:c r="J23" s="19" t="str">
        <x:v>clients/services/pending_payment_service.py:94, payment/services.py:423</x:v>
      </x:c>
      <x:c r="K23" s="19" t="str"/>
      <x:c r="L23" s="19" t="str">
        <x:v>Sin iniciar</x:v>
      </x:c>
      <x:c r="M23" s="19" t="str"/>
      <x:c r="N23" s="28"/>
      <x:c r="O23" s="19" t="str"/>
      <x:c r="P23" s="19" t="str"/>
      <x:c r="Q23" s="20" t="str"/>
    </x:row>
    <x:row r="24" ht="48" hidden="0" customHeight="1">
      <x:c r="A24" s="24" t="str">
        <x:v>CRED-007</x:v>
      </x:c>
      <x:c r="B24" s="25" t="str">
        <x:v>Órdenes a crédito</x:v>
      </x:c>
      <x:c r="C24" s="25" t="str">
        <x:v>P1</x:v>
      </x:c>
      <x:c r="D24" s="19" t="str">
        <x:v>Registro de orden a crédito es idempotente si ya existe marcador pendiente</x:v>
      </x:c>
      <x:c r="E24" s="19" t="str">
        <x:v>La orden a crédito ya tiene un marcador Payment pending_credit.</x:v>
      </x:c>
      <x:c r="F24" s="19" t="str">
        <x:v>1. Enviar/registrar nuevamente la misma orden a crédito.
2. Revisar pagos y deuda.</x:v>
      </x:c>
      <x:c r="G24" s="19" t="str">
        <x:v>- La respuesta indica que la orden ya tiene un registro pendiente de liquidación.
- No se crea un pending_credit duplicado.
- La deuda no aumenta por segunda vez.</x:v>
      </x:c>
      <x:c r="H24" s="19" t="str">
        <x:v>Comparar conteos de Payment y CreditTransaction antes y después.</x:v>
      </x:c>
      <x:c r="I24" s="19" t="str">
        <x:v>payment/tests.py:92</x:v>
      </x:c>
      <x:c r="J24" s="19" t="str">
        <x:v>payment/services.py:423</x:v>
      </x:c>
      <x:c r="K24" s="19" t="str"/>
      <x:c r="L24" s="19" t="str">
        <x:v>Sin iniciar</x:v>
      </x:c>
      <x:c r="M24" s="19" t="str"/>
      <x:c r="N24" s="28"/>
      <x:c r="O24" s="19" t="str"/>
      <x:c r="P24" s="19" t="str"/>
      <x:c r="Q24" s="20" t="str"/>
    </x:row>
    <x:row r="25" ht="72" hidden="0" customHeight="1">
      <x:c r="A25" s="24" t="str">
        <x:v>CRED-008</x:v>
      </x:c>
      <x:c r="B25" s="25" t="str">
        <x:v>Órdenes a crédito</x:v>
      </x:c>
      <x:c r="C25" s="25" t="str">
        <x:v>P0</x:v>
      </x:c>
      <x:c r="D25" s="19" t="str">
        <x:v>Liquidar orden con crédito pendiente usando monto exacto</x:v>
      </x:c>
      <x:c r="E25" s="19" t="str">
        <x:v>Orden a crédito con pending_credit amount 1000.00. Cliente current_debt = 1000.00.</x:v>
      </x:c>
      <x:c r="F25" s="19" t="str">
        <x:v>1. Abrir la pantalla de pago de la orden a crédito.
2. Enviar monto 1000.00 con efectivo o transferencia.
3. Abrir detalle del cliente y pagos de la orden.</x:v>
      </x:c>
      <x:c r="G25" s="19" t="str">
        <x:v>- Se crea un pago de liquidación completado.
- El current_debt del cliente queda en 0.00.
- El crédito disponible se restaura.
- El marcador pending_credit cambia a status completed.
- CreditTransaction payment referencia la orden y el pago de liquidación.</x:v>
      </x:c>
      <x:c r="H25" s="19" t="str">
        <x:v>La orden debe aparecer pagada porque un pago completado distinto de pending_credit la cubre.</x:v>
      </x:c>
      <x:c r="I25" s="19" t="str">
        <x:v>payment/tests.py:205, payment/tests.py:294</x:v>
      </x:c>
      <x:c r="J25" s="19" t="str">
        <x:v>payment/services.py:108, orders/views.py:113, clients/services/balance_service.py:261</x:v>
      </x:c>
      <x:c r="K25" s="19" t="str"/>
      <x:c r="L25" s="19" t="str">
        <x:v>Sin iniciar</x:v>
      </x:c>
      <x:c r="M25" s="19" t="str"/>
      <x:c r="N25" s="28"/>
      <x:c r="O25" s="19" t="str"/>
      <x:c r="P25" s="19" t="str"/>
      <x:c r="Q25" s="20" t="str"/>
    </x:row>
    <x:row r="26" ht="60" hidden="0" customHeight="1">
      <x:c r="A26" s="24" t="str">
        <x:v>CRED-009</x:v>
      </x:c>
      <x:c r="B26" s="25" t="str">
        <x:v>Órdenes a crédito</x:v>
      </x:c>
      <x:c r="C26" s="25" t="str">
        <x:v>P0</x:v>
      </x:c>
      <x:c r="D26" s="19" t="str">
        <x:v>Liquidación de crédito pendiente con monto incorrecto es rechazada</x:v>
      </x:c>
      <x:c r="E26" s="19" t="str">
        <x:v>Orden a crédito con pending_credit amount = 1000.00.</x:v>
      </x:c>
      <x:c r="F26" s="19" t="str">
        <x:v>1. Abrir pantalla de pago de la orden a crédito.
2. Enviar monto 900.00.</x:v>
      </x:c>
      <x:c r="G26" s="19" t="str">
        <x:v>- El pago se rechaza con mensaje de que debe cubrir el saldo pendiente.
- No se crea nuevo pago cash/bank.
- pending_credit permanece pending.
- La deuda no cambia.</x:v>
      </x:c>
      <x:c r="H26" s="19" t="str">
        <x:v>Verificar conteo de pagos de la orden y deuda del cliente.</x:v>
      </x:c>
      <x:c r="I26" s="19" t="str">
        <x:v>payment/tests.py:272</x:v>
      </x:c>
      <x:c r="J26" s="19" t="str">
        <x:v>payment/services.py:108</x:v>
      </x:c>
      <x:c r="K26" s="19" t="str"/>
      <x:c r="L26" s="19" t="str">
        <x:v>Sin iniciar</x:v>
      </x:c>
      <x:c r="M26" s="19" t="str"/>
      <x:c r="N26" s="28"/>
      <x:c r="O26" s="19" t="str"/>
      <x:c r="P26" s="19" t="str"/>
      <x:c r="Q26" s="20" t="str"/>
    </x:row>
    <x:row r="27" ht="48" hidden="0" customHeight="1">
      <x:c r="A27" s="24" t="str">
        <x:v>CRED-010</x:v>
      </x:c>
      <x:c r="B27" s="25" t="str">
        <x:v>Órdenes a crédito</x:v>
      </x:c>
      <x:c r="C27" s="25" t="str">
        <x:v>P1</x:v>
      </x:c>
      <x:c r="D27" s="19" t="str">
        <x:v>Pago de liquidación existente y coincidente se reconcilia sin duplicar</x:v>
      </x:c>
      <x:c r="E27" s="19" t="str">
        <x:v>Orden a crédito con pending_credit 1000.00 y un pago cash completado de 1000.00 que aún no redujo deuda.</x:v>
      </x:c>
      <x:c r="F27" s="19" t="str">
        <x:v>1. Ejecutar/enviar el flujo de liquidación por 1000.00.
2. Abrir pagos de la orden.</x:v>
      </x:c>
      <x:c r="G27" s="19" t="str">
        <x:v>- Se reutiliza el pago existente.
- No se crea pago cash duplicado.
- La deuda baja a 0.00.
- El marcador pending_credit queda completado.</x:v>
      </x:c>
      <x:c r="H27" s="19" t="str">
        <x:v>Revisar que solo exista un pago cash para la orden.</x:v>
      </x:c>
      <x:c r="I27" s="19" t="str">
        <x:v>payment/tests.py:222</x:v>
      </x:c>
      <x:c r="J27" s="19" t="str">
        <x:v>payment/services.py:108, payment/services.py:163</x:v>
      </x:c>
      <x:c r="K27" s="19" t="str"/>
      <x:c r="L27" s="19" t="str">
        <x:v>Sin iniciar</x:v>
      </x:c>
      <x:c r="M27" s="19" t="str"/>
      <x:c r="N27" s="28"/>
      <x:c r="O27" s="19" t="str"/>
      <x:c r="P27" s="19" t="str"/>
      <x:c r="Q27" s="20" t="str"/>
    </x:row>
    <x:row r="28" ht="36" hidden="0" customHeight="1">
      <x:c r="A28" s="24" t="str">
        <x:v>CRED-011</x:v>
      </x:c>
      <x:c r="B28" s="25" t="str">
        <x:v>Órdenes a crédito</x:v>
      </x:c>
      <x:c r="C28" s="25" t="str">
        <x:v>P1</x:v>
      </x:c>
      <x:c r="D28" s="19" t="str">
        <x:v>Pago de liquidación existente con monto distinto requiere revisión manual</x:v>
      </x:c>
      <x:c r="E28" s="19" t="str">
        <x:v>Orden a crédito con pending_credit = 1000.00 y pago cash completado existente = 900.00.</x:v>
      </x:c>
      <x:c r="F28" s="19" t="str">
        <x:v>1. Intentar liquidar la orden a crédito.
2. Observar respuesta/error.</x:v>
      </x:c>
      <x:c r="G28" s="19" t="str">
        <x:v>- El flujo levanta/devuelve error de revisión manual.
- La deuda del cliente no cambia.
- No se crea pago adicional.</x:v>
      </x:c>
      <x:c r="H28" s="19" t="str">
        <x:v>Escalar a ingeniería u operaciones financieras con IDs de orden/pago.</x:v>
      </x:c>
      <x:c r="I28" s="19" t="str">
        <x:v>payment/tests.py:249</x:v>
      </x:c>
      <x:c r="J28" s="19" t="str">
        <x:v>payment/services.py:163</x:v>
      </x:c>
      <x:c r="K28" s="19" t="str"/>
      <x:c r="L28" s="19" t="str">
        <x:v>Sin iniciar</x:v>
      </x:c>
      <x:c r="M28" s="19" t="str"/>
      <x:c r="N28" s="28"/>
      <x:c r="O28" s="19" t="str"/>
      <x:c r="P28" s="19" t="str"/>
      <x:c r="Q28" s="20" t="str"/>
    </x:row>
    <x:row r="29" ht="60" hidden="0" customHeight="1">
      <x:c r="A29" s="24" t="str">
        <x:v>CRED-012</x:v>
      </x:c>
      <x:c r="B29" s="25" t="str">
        <x:v>Órdenes a crédito</x:v>
      </x:c>
      <x:c r="C29" s="25" t="str">
        <x:v>P2</x:v>
      </x:c>
      <x:c r="D29" s="19" t="str">
        <x:v>Migración legacy de crédito en dry-run y apply</x:v>
      </x:c>
      <x:c r="E29" s="19" t="str">
        <x:v>Una orden legacy tiene type contado y un Payment completado con method credit.</x:v>
      </x:c>
      <x:c r="F29" s="19" t="str">
        <x:v>1. Ejecutar migrate_legacy_credit_orders sin --apply en un ambiente QA seguro.
2. Confirmar que no cambian registros.
3. Ejecutar de nuevo con --apply.
4. Inspeccionar orden y pago.</x:v>
      </x:c>
      <x:c r="G29" s="19" t="str">
        <x:v>- Dry run reporta que no escribe cambios.
- --apply cambia order.type a credito.
- El pago legacy cambia a method pending_credit y status pending.</x:v>
      </x:c>
      <x:c r="H29" s="19" t="str">
        <x:v>Ejecutar solo en una base QA desechable.</x:v>
      </x:c>
      <x:c r="I29" s="19" t="str">
        <x:v>payment/tests.py:431, payment/tests.py:457</x:v>
      </x:c>
      <x:c r="J29" s="19" t="str">
        <x:v>orders/management/commands/migrate_legacy_credit_orders.py:22</x:v>
      </x:c>
      <x:c r="K29" s="19" t="str"/>
      <x:c r="L29" s="19" t="str">
        <x:v>Sin iniciar</x:v>
      </x:c>
      <x:c r="M29" s="19" t="str"/>
      <x:c r="N29" s="28"/>
      <x:c r="O29" s="19" t="str"/>
      <x:c r="P29" s="19" t="str"/>
      <x:c r="Q29" s="20" t="str"/>
    </x:row>
    <x:row r="30" ht="72" hidden="0" customHeight="1">
      <x:c r="A30" s="24" t="str">
        <x:v>CFG-001</x:v>
      </x:c>
      <x:c r="B30" s="25" t="str">
        <x:v>Config crédito</x:v>
      </x:c>
      <x:c r="C30" s="25" t="str">
        <x:v>P0</x:v>
      </x:c>
      <x:c r="D30" s="19" t="str">
        <x:v>La semántica del checkbox de paro de emergencia de crédito se invierte correctamente</x:v>
      </x:c>
      <x:c r="E30" s="19" t="str">
        <x:v>Cliente con can_pay_with_credit = true y credit_limit = 500.00.</x:v>
      </x:c>
      <x:c r="F30" s="19" t="str">
        <x:v>1. Abrir editar cliente &gt; pestaña crédito.
2. Marcar el campo Cliente no puede pagar con crédito.
3. Guardar.
4. Abrir el cliente otra vez.</x:v>
      </x:c>
      <x:c r="G30" s="19" t="str">
        <x:v>- Cuando el checkbox está marcado, can_pay_with_credit se guarda como false.
- Cuando el checkbox está desmarcado, can_pay_with_credit se guarda como true.
- Los intentos de venta a crédito respetan el valor guardado.</x:v>
      </x:c>
      <x:c r="H30" s="19" t="str">
        <x:v>Ejecutar CRED-004 después de habilitar el paro de emergencia.</x:v>
      </x:c>
      <x:c r="I30" s="19" t="str">
        <x:v>clients/tests_credit_management.py:75, clients/tests_credit_management.py:95</x:v>
      </x:c>
      <x:c r="J30" s="19" t="str">
        <x:v>clients/forms.py:157, clients/models.py:199</x:v>
      </x:c>
      <x:c r="K30" s="19" t="str"/>
      <x:c r="L30" s="19" t="str">
        <x:v>Sin iniciar</x:v>
      </x:c>
      <x:c r="M30" s="19" t="str"/>
      <x:c r="N30" s="28"/>
      <x:c r="O30" s="19" t="str"/>
      <x:c r="P30" s="19" t="str"/>
      <x:c r="Q30" s="20" t="str"/>
    </x:row>
    <x:row r="31" ht="84" hidden="0" customHeight="1">
      <x:c r="A31" s="24" t="str">
        <x:v>CFG-002</x:v>
      </x:c>
      <x:c r="B31" s="25" t="str">
        <x:v>Config crédito</x:v>
      </x:c>
      <x:c r="C31" s="25" t="str">
        <x:v>P1</x:v>
      </x:c>
      <x:c r="D31" s="19" t="str">
        <x:v>Términos de crédito invoice_due requieren facturación recurrente</x:v>
      </x:c>
      <x:c r="E31" s="19" t="str">
        <x:v>Existe cliente corporativo con requires_billing false.</x:v>
      </x:c>
      <x:c r="F31" s="19" t="str">
        <x:v>1. Abrir configuración de crédito.
2. Seleccionar Vencimiento posterior a factura/invoice_due.
3. Intentar guardar sin habilitar facturación recurrente.
4. Después habilitar facturación recurrente y guardar invoice_due.
5. Intentar deshabilitar facturación recurrente mientras invoice_due sigue configurado.</x:v>
      </x:c>
      <x:c r="G31" s="19" t="str">
        <x:v>- invoice_due no se puede guardar a menos que requires_billing sea true.
- La facturación recurrente no se puede deshabilitar mientras los términos invoice_due estén activos.</x:v>
      </x:c>
      <x:c r="H31" s="19" t="str">
        <x:v>Verificar que el mensaje de validación mencione el requisito de facturación.</x:v>
      </x:c>
      <x:c r="I31" s="19" t="str">
        <x:v>clients/tests_credit_management.py:127, clients/tests_credit_management.py:143</x:v>
      </x:c>
      <x:c r="J31" s="19" t="str">
        <x:v>clients/models.py:141, clients/models.py:606, clients/views.py:262</x:v>
      </x:c>
      <x:c r="K31" s="19" t="str"/>
      <x:c r="L31" s="19" t="str">
        <x:v>Sin iniciar</x:v>
      </x:c>
      <x:c r="M31" s="19" t="str"/>
      <x:c r="N31" s="28"/>
      <x:c r="O31" s="19" t="str"/>
      <x:c r="P31" s="19" t="str"/>
      <x:c r="Q31" s="20" t="str"/>
    </x:row>
    <x:row r="32" ht="60" hidden="0" customHeight="1">
      <x:c r="A32" s="24" t="str">
        <x:v>CFG-003</x:v>
      </x:c>
      <x:c r="B32" s="25" t="str">
        <x:v>Config crédito</x:v>
      </x:c>
      <x:c r="C32" s="25" t="str">
        <x:v>P1</x:v>
      </x:c>
      <x:c r="D32" s="19" t="str">
        <x:v>Nueva sucursal copia política de crédito corporativa pero no saldos de libros</x:v>
      </x:c>
      <x:c r="E32" s="19" t="str">
        <x:v>Cliente corporativo con credit_limit 750.00, current_debt 320.00, balance 125.00, can_pay_with_credit false y cutoff_day 15.</x:v>
      </x:c>
      <x:c r="F32" s="19" t="str">
        <x:v>1. Crear una sucursal bajo ese corporativo.
2. Abrir detalle/editar sucursal &gt; pestaña crédito.</x:v>
      </x:c>
      <x:c r="G32" s="19" t="str">
        <x:v>- La sucursal tiene credit_limit 750.00.
- La sucursal tiene can_pay_with_credit false.
- La sucursal tiene current_debt 0.00 y balance 0.00.
- La configuración de crédito copia término de pago, día de corte y máximo de días de pago.</x:v>
      </x:c>
      <x:c r="H32" s="19" t="str">
        <x:v>Confirmar que credit_override_enabled de la sucursal inicia en false.</x:v>
      </x:c>
      <x:c r="I32" s="19" t="str">
        <x:v>clients/tests_credit_management.py:170</x:v>
      </x:c>
      <x:c r="J32" s="19" t="str">
        <x:v>clients/services/client_service.py:51, clients/views.py:216</x:v>
      </x:c>
      <x:c r="K32" s="19" t="str"/>
      <x:c r="L32" s="19" t="str">
        <x:v>Sin iniciar</x:v>
      </x:c>
      <x:c r="M32" s="19" t="str"/>
      <x:c r="N32" s="28"/>
      <x:c r="O32" s="19" t="str"/>
      <x:c r="P32" s="19" t="str"/>
      <x:c r="Q32" s="20" t="str"/>
    </x:row>
    <x:row r="33" ht="72" hidden="0" customHeight="1">
      <x:c r="A33" s="24" t="str">
        <x:v>CFG-004</x:v>
      </x:c>
      <x:c r="B33" s="25" t="str">
        <x:v>Config crédito</x:v>
      </x:c>
      <x:c r="C33" s="25" t="str">
        <x:v>P1</x:v>
      </x:c>
      <x:c r="D33" s="19" t="str">
        <x:v>Sucursal sin override de crédito tiene política de crédito de solo lectura</x:v>
      </x:c>
      <x:c r="E33" s="19" t="str">
        <x:v>La sucursal pertenece a un corporativo y credit_override_enabled es false.</x:v>
      </x:c>
      <x:c r="F33" s="19" t="str">
        <x:v>1. Abrir editar sucursal &gt; pestaña crédito.
2. Intentar cambiar credit_limit desde UI o endpoint PATCH.</x:v>
      </x:c>
      <x:c r="G33" s="19" t="str">
        <x:v>- La UI muestra configuración de crédito de solo lectura y apunta a la administración corporativa.
- La actualización PATCH/API se rechaza con 400.
- credit_limit y can_pay_with_credit de la sucursal permanecen sin cambios.</x:v>
      </x:c>
      <x:c r="H33" s="19" t="str">
        <x:v>Usar solo una sucursal con override deshabilitado.</x:v>
      </x:c>
      <x:c r="I33" s="19" t="str">
        <x:v>clients/tests_credit_management.py:301, clients/tests_credit_management.py:314, clients/tests_credit_management.py:383</x:v>
      </x:c>
      <x:c r="J33" s="19" t="str">
        <x:v>clients/views.py:121, clients/views.py:262, clients/services/client_service.py:89</x:v>
      </x:c>
      <x:c r="K33" s="19" t="str"/>
      <x:c r="L33" s="19" t="str">
        <x:v>Sin iniciar</x:v>
      </x:c>
      <x:c r="M33" s="19" t="str"/>
      <x:c r="N33" s="28"/>
      <x:c r="O33" s="19" t="str"/>
      <x:c r="P33" s="19" t="str"/>
      <x:c r="Q33" s="20" t="str"/>
    </x:row>
    <x:row r="34" ht="60" hidden="0" customHeight="1">
      <x:c r="A34" s="24" t="str">
        <x:v>CFG-005</x:v>
      </x:c>
      <x:c r="B34" s="25" t="str">
        <x:v>Config crédito</x:v>
      </x:c>
      <x:c r="C34" s="25" t="str">
        <x:v>P2</x:v>
      </x:c>
      <x:c r="D34" s="19" t="str">
        <x:v>Sucursal con override de crédito puede editar su política</x:v>
      </x:c>
      <x:c r="E34" s="19" t="str">
        <x:v>Sucursal con credit_override_enabled true.</x:v>
      </x:c>
      <x:c r="F34" s="19" t="str">
        <x:v>1. Abrir editar sucursal &gt; pestaña crédito.
2. Cambiar credit_limit a 500.00 y guardar.
3. Opcionalmente hacer PATCH de credit_limit/can_pay_with_credit.</x:v>
      </x:c>
      <x:c r="G34" s="19" t="str">
        <x:v>- La UI guarda la política de crédito específica de la sucursal.
- PATCH/API puede actualizar campos de crédito.
- La política corporativa no se modifica por el cambio en sucursal.</x:v>
      </x:c>
      <x:c r="H34" s="19" t="str">
        <x:v>Comparar valores de sucursal y corporativo.</x:v>
      </x:c>
      <x:c r="I34" s="19" t="str">
        <x:v>clients/tests_credit_management.py:331, clients/tests_credit_management.py:398</x:v>
      </x:c>
      <x:c r="J34" s="19" t="str">
        <x:v>clients/views.py:262, clients/services/client_service.py:89</x:v>
      </x:c>
      <x:c r="K34" s="19" t="str"/>
      <x:c r="L34" s="19" t="str">
        <x:v>Sin iniciar</x:v>
      </x:c>
      <x:c r="M34" s="19" t="str"/>
      <x:c r="N34" s="28"/>
      <x:c r="O34" s="19" t="str"/>
      <x:c r="P34" s="19" t="str"/>
      <x:c r="Q34" s="20" t="str"/>
    </x:row>
    <x:row r="35" ht="96" hidden="0" customHeight="1">
      <x:c r="A35" s="24" t="str">
        <x:v>CFG-006</x:v>
      </x:c>
      <x:c r="B35" s="25" t="str">
        <x:v>Config crédito</x:v>
      </x:c>
      <x:c r="C35" s="25" t="str">
        <x:v>P1</x:v>
      </x:c>
      <x:c r="D35" s="19" t="str">
        <x:v>Fechas de vencimiento con corte mensual manejan día de corte y fin de mes</x:v>
      </x:c>
      <x:c r="E35" s="19" t="str">
        <x:v>Configuración de crédito del cliente con payment_term_type monthly_cutoff.</x:v>
      </x:c>
      <x:c r="F35" s="19" t="str">
        <x:v>1. Configurar cutoff_day en 20 y crear venta a crédito con fecha 2026-06-21.
2. Revisar fecha de vencimiento.
3. Crear otra venta con fecha 2026-06-20.
4. Configurar cutoff_day last_day o 30 en febrero y revisar vencimiento.</x:v>
      </x:c>
      <x:c r="G35" s="19" t="str">
        <x:v>- La venta después del corte vence el 2026-07-20.
- La venta en el día de corte vence el 2026-06-20.
- last_day usa el último día real del mes.
- Un corte numérico mayor al fin de mes se ajusta al último día real.</x:v>
      </x:c>
      <x:c r="H35" s="19" t="str">
        <x:v>El detalle del cliente debe reflejar la fecha de vencimiento más cercana cuando haya crédito abierto.</x:v>
      </x:c>
      <x:c r="I35" s="19" t="str">
        <x:v>clients/tests_credit_terms.py:13, clients/tests_credit_terms.py:18, clients/tests_credit_terms.py:23, clients/tests_credit_terms.py:28</x:v>
      </x:c>
      <x:c r="J35" s="19" t="str">
        <x:v>clients/services/pending_payment_service.py:27, clients/services/pending_payment_service.py:40</x:v>
      </x:c>
      <x:c r="K35" s="19" t="str"/>
      <x:c r="L35" s="19" t="str">
        <x:v>Sin iniciar</x:v>
      </x:c>
      <x:c r="M35" s="19" t="str"/>
      <x:c r="N35" s="28"/>
      <x:c r="O35" s="19" t="str"/>
      <x:c r="P35" s="19" t="str"/>
      <x:c r="Q35" s="20" t="str"/>
    </x:row>
    <x:row r="36" ht="72" hidden="0" customHeight="1">
      <x:c r="A36" s="24" t="str">
        <x:v>CFG-007</x:v>
      </x:c>
      <x:c r="B36" s="25" t="str">
        <x:v>Config crédito</x:v>
      </x:c>
      <x:c r="C36" s="25" t="str">
        <x:v>P1</x:v>
      </x:c>
      <x:c r="D36" s="19" t="str">
        <x:v>Crédito invoice_due espera emisión de factura y luego suma días máximos</x:v>
      </x:c>
      <x:c r="E36" s="19" t="str">
        <x:v>Cliente usa invoice_due con max_payment_days = 30.</x:v>
      </x:c>
      <x:c r="F36" s="19" t="str">
        <x:v>1. Crear una orden a crédito sin factura.
2. Revisar fecha de vencimiento en reporte/detalle de crédito del cliente.
3. Crear o ligar factura con emitted_at 2026-06-10.
4. Revisar nuevamente la fecha de vencimiento.</x:v>
      </x:c>
      <x:c r="G36" s="19" t="str">
        <x:v>- La orden sin factura no tiene fecha de vencimiento y no está vencida.
- Después de emitir factura, la fecha de vencimiento es 2026-07-10.</x:v>
      </x:c>
      <x:c r="H36" s="19" t="str">
        <x:v>Usar la página detallada del reporte de crédito del cliente.</x:v>
      </x:c>
      <x:c r="I36" s="19" t="str">
        <x:v>clients/tests_credit_terms.py:33, clients/tests_credit_terms.py:46, clients/tests_credit_report_service.py:164</x:v>
      </x:c>
      <x:c r="J36" s="19" t="str">
        <x:v>clients/services/pending_payment_service.py:40, clients/services/credit_report_service.py:143</x:v>
      </x:c>
      <x:c r="K36" s="19" t="str"/>
      <x:c r="L36" s="19" t="str">
        <x:v>Sin iniciar</x:v>
      </x:c>
      <x:c r="M36" s="19" t="str"/>
      <x:c r="N36" s="28"/>
      <x:c r="O36" s="19" t="str"/>
      <x:c r="P36" s="19" t="str"/>
      <x:c r="Q36" s="20" t="str"/>
    </x:row>
    <x:row r="37" ht="60" hidden="0" customHeight="1">
      <x:c r="A37" s="24" t="str">
        <x:v>INV-001</x:v>
      </x:c>
      <x:c r="B37" s="25" t="str">
        <x:v>Facturas</x:v>
      </x:c>
      <x:c r="C37" s="25" t="str">
        <x:v>P0</x:v>
      </x:c>
      <x:c r="D37" s="19" t="str">
        <x:v>Lista de órdenes facturables incluye solo órdenes completadas, sin factura y del mismo cliente</x:v>
      </x:c>
      <x:c r="E37" s="19" t="str">
        <x:v>Cliente A tiene órdenes completadas sin factura, órdenes pendientes y una orden ya facturada. Cliente B tiene órdenes completadas.</x:v>
      </x:c>
      <x:c r="F37" s="19" t="str">
        <x:v>1. Abrir flujo de crear/editar factura para Cliente A.
2. Abrir dropdown de órdenes o endpoint AJAX de órdenes facturables.</x:v>
      </x:c>
      <x:c r="G37" s="19" t="str">
        <x:v>- Aparecen las órdenes completadas sin factura de Cliente A.
- No aparecen órdenes de Cliente B.
- No aparecen órdenes pendientes.
- No aparecen órdenes ligadas a cualquier factura.</x:v>
      </x:c>
      <x:c r="H37" s="19" t="str">
        <x:v>Revisar respuesta del endpoint de órdenes facturables si hace falta.</x:v>
      </x:c>
      <x:c r="I37" s="19" t="str">
        <x:v>invoice/tests.py:38, invoice/tests.py:259, invoice/tests.py:274, invoice/tests.py:296</x:v>
      </x:c>
      <x:c r="J37" s="19" t="str">
        <x:v>invoice/services.py:352, invoice/views.py:15</x:v>
      </x:c>
      <x:c r="K37" s="19" t="str"/>
      <x:c r="L37" s="19" t="str">
        <x:v>Sin iniciar</x:v>
      </x:c>
      <x:c r="M37" s="19" t="str"/>
      <x:c r="N37" s="28"/>
      <x:c r="O37" s="19" t="str"/>
      <x:c r="P37" s="19" t="str"/>
      <x:c r="Q37" s="20" t="str"/>
    </x:row>
    <x:row r="38" ht="36" hidden="0" customHeight="1">
      <x:c r="A38" s="24" t="str">
        <x:v>INV-002</x:v>
      </x:c>
      <x:c r="B38" s="25" t="str">
        <x:v>Facturas</x:v>
      </x:c>
      <x:c r="C38" s="25" t="str">
        <x:v>P1</x:v>
      </x:c>
      <x:c r="D38" s="19" t="str">
        <x:v>Editar liga existente de factura conserva la orden actualmente ligada</x:v>
      </x:c>
      <x:c r="E38" s="19" t="str">
        <x:v>La factura tiene un InvoiceOrderLink existente a una orden que normalmente sería excluida.</x:v>
      </x:c>
      <x:c r="F38" s="19" t="str">
        <x:v>1. Abrir pantalla de edición de factura.
2. Editar la fila de la orden ligada existente.
3. Revisar opciones del dropdown.</x:v>
      </x:c>
      <x:c r="G38" s="19" t="str">
        <x:v>- La orden actualmente ligada sigue seleccionable durante la edición.
- Otras órdenes ya ligadas permanecen excluidas.</x:v>
      </x:c>
      <x:c r="H38" s="19" t="str">
        <x:v>Esto protege ediciones admin para no perder la selección actual.</x:v>
      </x:c>
      <x:c r="I38" s="19" t="str">
        <x:v>invoice/tests.py:105, invoice/tests.py:309</x:v>
      </x:c>
      <x:c r="J38" s="19" t="str">
        <x:v>invoice/services.py:352, invoice/static/admin/js/billing_record_inline_orders.js:117</x:v>
      </x:c>
      <x:c r="K38" s="19" t="str"/>
      <x:c r="L38" s="19" t="str">
        <x:v>Sin iniciar</x:v>
      </x:c>
      <x:c r="M38" s="19" t="str"/>
      <x:c r="N38" s="28"/>
      <x:c r="O38" s="19" t="str"/>
      <x:c r="P38" s="19" t="str"/>
      <x:c r="Q38" s="20" t="str"/>
    </x:row>
    <x:row r="39" ht="60" hidden="0" customHeight="1">
      <x:c r="A39" s="24" t="str">
        <x:v>INV-003</x:v>
      </x:c>
      <x:c r="B39" s="25" t="str">
        <x:v>Facturas</x:v>
      </x:c>
      <x:c r="C39" s="25" t="str">
        <x:v>P0</x:v>
      </x:c>
      <x:c r="D39" s="19" t="str">
        <x:v>Tope de monto en factura manual bloquea órdenes ligadas que exceden el monto facturado</x:v>
      </x:c>
      <x:c r="E39" s="19" t="str">
        <x:v>Factura manual con auto_amount false, amount 100.00. Orden ligada existente 80.00. Nueva orden 30.00.</x:v>
      </x:c>
      <x:c r="F39" s="19" t="str">
        <x:v>1. Abrir pantalla de edición de factura manual.
2. Intentar ligar la nueva orden de 30.00.</x:v>
      </x:c>
      <x:c r="G39" s="19" t="str">
        <x:v>- El formulario bloquea la liga porque el total ligado sería 110.00.
- No se crea InvoiceOrderLink para la nueva orden.
- El error explica que la suma excede el monto de la factura.</x:v>
      </x:c>
      <x:c r="H39" s="19" t="str">
        <x:v>Revisar que la tabla de órdenes ligadas no cambie.</x:v>
      </x:c>
      <x:c r="I39" s="19" t="str">
        <x:v>invoice/tests.py:130</x:v>
      </x:c>
      <x:c r="J39" s="19" t="str">
        <x:v>invoice/services.py:265, invoice/services.py:314</x:v>
      </x:c>
      <x:c r="K39" s="19" t="str"/>
      <x:c r="L39" s="19" t="str">
        <x:v>Sin iniciar</x:v>
      </x:c>
      <x:c r="M39" s="19" t="str"/>
      <x:c r="N39" s="28"/>
      <x:c r="O39" s="19" t="str"/>
      <x:c r="P39" s="19" t="str"/>
      <x:c r="Q39" s="20" t="str"/>
    </x:row>
    <x:row r="40" ht="36" hidden="0" customHeight="1">
      <x:c r="A40" s="24" t="str">
        <x:v>INV-004</x:v>
      </x:c>
      <x:c r="B40" s="25" t="str">
        <x:v>Facturas</x:v>
      </x:c>
      <x:c r="C40" s="25" t="str">
        <x:v>P1</x:v>
      </x:c>
      <x:c r="D40" s="19" t="str">
        <x:v>Tope de factura manual permite límite exacto</x:v>
      </x:c>
      <x:c r="E40" s="19" t="str">
        <x:v>Factura manual amount 100.00. Orden ligada existente 80.00. Nueva orden completada 20.00.</x:v>
      </x:c>
      <x:c r="F40" s="19" t="str">
        <x:v>1. Abrir edición de factura.
2. Ligar la orden de 20.00.</x:v>
      </x:c>
      <x:c r="G40" s="19" t="str">
        <x:v>- El formulario guarda correctamente.
- El total de órdenes ligadas es igual al monto de la factura 100.00.</x:v>
      </x:c>
      <x:c r="H40" s="19" t="str">
        <x:v>Revisar la suma de órdenes ligadas a la factura.</x:v>
      </x:c>
      <x:c r="I40" s="19" t="str">
        <x:v>invoice/tests.py:187</x:v>
      </x:c>
      <x:c r="J40" s="19" t="str">
        <x:v>invoice/services.py:314</x:v>
      </x:c>
      <x:c r="K40" s="19" t="str"/>
      <x:c r="L40" s="19" t="str">
        <x:v>Sin iniciar</x:v>
      </x:c>
      <x:c r="M40" s="19" t="str"/>
      <x:c r="N40" s="28"/>
      <x:c r="O40" s="19" t="str"/>
      <x:c r="P40" s="19" t="str"/>
      <x:c r="Q40" s="20" t="str"/>
    </x:row>
    <x:row r="41" ht="48" hidden="0" customHeight="1">
      <x:c r="A41" s="24" t="str">
        <x:v>INV-005</x:v>
      </x:c>
      <x:c r="B41" s="25" t="str">
        <x:v>Facturas</x:v>
      </x:c>
      <x:c r="C41" s="25" t="str">
        <x:v>P0</x:v>
      </x:c>
      <x:c r="D41" s="19" t="str">
        <x:v>Factura con monto automático deriva el monto desde órdenes ligadas</x:v>
      </x:c>
      <x:c r="E41" s="19" t="str">
        <x:v>Factura automática inicialmente liga orden de 50.00.</x:v>
      </x:c>
      <x:c r="F41" s="19" t="str">
        <x:v>1. Crear factura desde órdenes completadas o habilitar auto_amount.
2. Agregar otra orden completada por 25.00.
3. Guardar edición de factura.</x:v>
      </x:c>
      <x:c r="G41" s="19" t="str">
        <x:v>- La factura auto_amount acepta órdenes ligadas aunque el monto previo hubiera sido excedido.
- El monto de la factura se sincroniza a 75.00.
- Si se quitan todas las ligas, el monto se sincroniza a 0.00.</x:v>
      </x:c>
      <x:c r="H41" s="19" t="str">
        <x:v>Revisar monto de factura después de guardar y después de quitar ligas.</x:v>
      </x:c>
      <x:c r="I41" s="19" t="str">
        <x:v>invoice/tests.py:159, invoice/tests.py:469, invoice/tests.py:485</x:v>
      </x:c>
      <x:c r="J41" s="19" t="str">
        <x:v>invoice/services.py:476, invoice/services.py:534, invoice/views.py:142</x:v>
      </x:c>
      <x:c r="K41" s="19" t="str"/>
      <x:c r="L41" s="19" t="str">
        <x:v>Sin iniciar</x:v>
      </x:c>
      <x:c r="M41" s="19" t="str"/>
      <x:c r="N41" s="28"/>
      <x:c r="O41" s="19" t="str"/>
      <x:c r="P41" s="19" t="str"/>
      <x:c r="Q41" s="20" t="str"/>
    </x:row>
    <x:row r="42" ht="60" hidden="0" customHeight="1">
      <x:c r="A42" s="24" t="str">
        <x:v>INV-006</x:v>
      </x:c>
      <x:c r="B42" s="25" t="str">
        <x:v>Facturas</x:v>
      </x:c>
      <x:c r="C42" s="25" t="str">
        <x:v>P0</x:v>
      </x:c>
      <x:c r="D42" s="19" t="str">
        <x:v>Crear factura masiva desde órdenes completadas del mismo cliente</x:v>
      </x:c>
      <x:c r="E42" s="19" t="str">
        <x:v>Usuario admin. Dos órdenes completadas para el mismo cliente corporativo listo para facturar: 50.00 y 30.00.</x:v>
      </x:c>
      <x:c r="F42" s="19" t="str">
        <x:v>1. Abrir dashboard admin de órdenes.
2. Seleccionar ambas órdenes completadas.
3. Elegir acción masiva Crear factura.
4. Enviar.</x:v>
      </x:c>
      <x:c r="G42" s="19" t="str">
        <x:v>- Redirige a pantalla de edición de factura.
- Se crea factura por 80.00.
- La factura tiene dos filas InvoiceOrderLink.
- identifier y folio son placeholders BORRADOR para actualización posterior.</x:v>
      </x:c>
      <x:c r="H42" s="19" t="str">
        <x:v>Revisar IDs de órdenes ligadas a la factura.</x:v>
      </x:c>
      <x:c r="I42" s="19" t="str">
        <x:v>orders/tests.py:1043, invoice/tests.py:413, invoice/tests.py:426</x:v>
      </x:c>
      <x:c r="J42" s="19" t="str">
        <x:v>orders/views.py:253, invoice/services.py:476</x:v>
      </x:c>
      <x:c r="K42" s="19" t="str"/>
      <x:c r="L42" s="19" t="str">
        <x:v>Sin iniciar</x:v>
      </x:c>
      <x:c r="M42" s="19" t="str"/>
      <x:c r="N42" s="28"/>
      <x:c r="O42" s="19" t="str"/>
      <x:c r="P42" s="19" t="str"/>
      <x:c r="Q42" s="20" t="str"/>
    </x:row>
    <x:row r="43" ht="60" hidden="0" customHeight="1">
      <x:c r="A43" s="24" t="str">
        <x:v>INV-007</x:v>
      </x:c>
      <x:c r="B43" s="25" t="str">
        <x:v>Facturas</x:v>
      </x:c>
      <x:c r="C43" s="25" t="str">
        <x:v>P0</x:v>
      </x:c>
      <x:c r="D43" s="19" t="str">
        <x:v>Crear factura masiva rechaza órdenes no completadas</x:v>
      </x:c>
      <x:c r="E43" s="19" t="str">
        <x:v>La selección incluye una orden completada y una pendiente.</x:v>
      </x:c>
      <x:c r="F43" s="19" t="str">
        <x:v>1. Abrir dashboard admin de órdenes.
2. Seleccionar órdenes con estados mixtos.
3. Elegir Crear factura y enviar.</x:v>
      </x:c>
      <x:c r="G43" s="19" t="str">
        <x:v>- No se crea factura.
- El mensaje indica que solo órdenes completadas pueden facturarse.
- El ID de la orden pendiente aparece en el contexto del error.</x:v>
      </x:c>
      <x:c r="H43" s="19" t="str">
        <x:v>Revisar conteo de facturas para el cliente.</x:v>
      </x:c>
      <x:c r="I43" s="19" t="str">
        <x:v>orders/tests.py:1062</x:v>
      </x:c>
      <x:c r="J43" s="19" t="str">
        <x:v>orders/views.py:253</x:v>
      </x:c>
      <x:c r="K43" s="19" t="str"/>
      <x:c r="L43" s="19" t="str">
        <x:v>Sin iniciar</x:v>
      </x:c>
      <x:c r="M43" s="19" t="str"/>
      <x:c r="N43" s="28"/>
      <x:c r="O43" s="19" t="str"/>
      <x:c r="P43" s="19" t="str"/>
      <x:c r="Q43" s="20" t="str"/>
    </x:row>
    <x:row r="44" ht="36" hidden="0" customHeight="1">
      <x:c r="A44" s="24" t="str">
        <x:v>INV-008</x:v>
      </x:c>
      <x:c r="B44" s="25" t="str">
        <x:v>Facturas</x:v>
      </x:c>
      <x:c r="C44" s="25" t="str">
        <x:v>P0</x:v>
      </x:c>
      <x:c r="D44" s="19" t="str">
        <x:v>Crear factura masiva rechaza órdenes de corporativos distintos</x:v>
      </x:c>
      <x:c r="E44" s="19" t="str">
        <x:v>Las órdenes completadas seleccionadas pertenecen a propietarios corporativos distintos.</x:v>
      </x:c>
      <x:c r="F44" s="19" t="str">
        <x:v>1. Seleccionar órdenes completadas de distintos clientes corporativos.
2. Ejecutar Crear factura.</x:v>
      </x:c>
      <x:c r="G44" s="19" t="str">
        <x:v>- No se crea factura.
- El error indica que todas las órdenes seleccionadas deben pertenecer al mismo cliente corporativo.</x:v>
      </x:c>
      <x:c r="H44" s="19" t="str">
        <x:v>Incluir combinaciones sucursal/corporativo en esta prueba.</x:v>
      </x:c>
      <x:c r="I44" s="19" t="str">
        <x:v>invoice/tests.py:445</x:v>
      </x:c>
      <x:c r="J44" s="19" t="str">
        <x:v>invoice/services.py:476, orders/views.py:253</x:v>
      </x:c>
      <x:c r="K44" s="19" t="str"/>
      <x:c r="L44" s="19" t="str">
        <x:v>Sin iniciar</x:v>
      </x:c>
      <x:c r="M44" s="19" t="str"/>
      <x:c r="N44" s="28"/>
      <x:c r="O44" s="19" t="str"/>
      <x:c r="P44" s="19" t="str"/>
      <x:c r="Q44" s="20" t="str"/>
    </x:row>
    <x:row r="45" ht="60" hidden="0" customHeight="1">
      <x:c r="A45" s="24" t="str">
        <x:v>INV-009</x:v>
      </x:c>
      <x:c r="B45" s="25" t="str">
        <x:v>Facturas</x:v>
      </x:c>
      <x:c r="C45" s="25" t="str">
        <x:v>P0</x:v>
      </x:c>
      <x:c r="D45" s="19" t="str">
        <x:v>Generación de factura rechaza datos fiscales o dirección fiscal faltantes</x:v>
      </x:c>
      <x:c r="E45" s="19" t="str">
        <x:v>Cliente con órdenes completadas pero sin RFC/razon_social o sin dirección fiscal activa.</x:v>
      </x:c>
      <x:c r="F45" s="19" t="str">
        <x:v>1. Ejecutar Crear factura desde admin de órdenes.
2. Repetir con RFC/razon_social faltante.
3. Repetir con dirección fiscal activa faltante.</x:v>
      </x:c>
      <x:c r="G45" s="19" t="str">
        <x:v>- No se crea factura.
- El error identifica RFC/Razón social o dirección fiscal faltante.
- Para sucursales, se nombra al corporativo cuando faltan datos corporativos.</x:v>
      </x:c>
      <x:c r="H45" s="19" t="str">
        <x:v>Revisar que no se creen filas parciales de factura/liga.</x:v>
      </x:c>
      <x:c r="I45" s="19" t="str">
        <x:v>orders/tests.py:1076, orders/tests.py:1093, invoice/tests.py:455</x:v>
      </x:c>
      <x:c r="J45" s="19" t="str">
        <x:v>invoice/services.py:47, invoice/services.py:476</x:v>
      </x:c>
      <x:c r="K45" s="19" t="str"/>
      <x:c r="L45" s="19" t="str">
        <x:v>Sin iniciar</x:v>
      </x:c>
      <x:c r="M45" s="19" t="str"/>
      <x:c r="N45" s="28"/>
      <x:c r="O45" s="19" t="str"/>
      <x:c r="P45" s="19" t="str"/>
      <x:c r="Q45" s="20" t="str"/>
    </x:row>
    <x:row r="46" ht="60" hidden="0" customHeight="1">
      <x:c r="A46" s="24" t="str">
        <x:v>INV-010</x:v>
      </x:c>
      <x:c r="B46" s="25" t="str">
        <x:v>Facturas</x:v>
      </x:c>
      <x:c r="C46" s="25" t="str">
        <x:v>P1</x:v>
      </x:c>
      <x:c r="D46" s="19" t="str">
        <x:v>Factura de sucursal valida datos fiscales corporativos, no datos propios de sucursal</x:v>
      </x:c>
      <x:c r="E46" s="19" t="str">
        <x:v>La sucursal tiene datos/dirección fiscal propios, pero su corporativo no tiene RFC o dirección de facturación.</x:v>
      </x:c>
      <x:c r="F46" s="19" t="str">
        <x:v>1. Seleccionar una orden completada de sucursal.
2. Ejecutar Crear factura.</x:v>
      </x:c>
      <x:c r="G46" s="19" t="str">
        <x:v>- La creación de factura se rechaza.
- El error referencia al cliente corporativo como propietario fiscal requerido.
- Los datos fiscales de la sucursal no evitan la validación corporativa.</x:v>
      </x:c>
      <x:c r="H46" s="19" t="str">
        <x:v>Revisar configuración de sucursal y corporativo antes de la prueba.</x:v>
      </x:c>
      <x:c r="I46" s="19" t="str">
        <x:v>orders/tests.py:1121, clients/tests.py:140, clients/tests.py:173</x:v>
      </x:c>
      <x:c r="J46" s="19" t="str">
        <x:v>invoice/services.py:23, invoice/services.py:47</x:v>
      </x:c>
      <x:c r="K46" s="19" t="str"/>
      <x:c r="L46" s="19" t="str">
        <x:v>Sin iniciar</x:v>
      </x:c>
      <x:c r="M46" s="19" t="str"/>
      <x:c r="N46" s="28"/>
      <x:c r="O46" s="19" t="str"/>
      <x:c r="P46" s="19" t="str"/>
      <x:c r="Q46" s="20" t="str"/>
    </x:row>
    <x:row r="47" ht="72" hidden="0" customHeight="1">
      <x:c r="A47" s="24" t="str">
        <x:v>INV-011</x:v>
      </x:c>
      <x:c r="B47" s="25" t="str">
        <x:v>Facturas</x:v>
      </x:c>
      <x:c r="C47" s="25" t="str">
        <x:v>P1</x:v>
      </x:c>
      <x:c r="D47" s="19" t="str">
        <x:v>Snapshot de balance de factura separa capacidad disponible de saldo no pagado</x:v>
      </x:c>
      <x:c r="E47" s="19" t="str">
        <x:v>Factura amount 1000.00 ligada a órdenes por 800.00. Pagos incluyen cash 600.00 y pending_credit 50.00.</x:v>
      </x:c>
      <x:c r="F47" s="19" t="str">
        <x:v>1. Abrir lista/dashboard de facturas o vista/servicio de snapshot si existe en UI.
2. Comparar totales de órdenes ligadas y pagos completados no crediticios.</x:v>
      </x:c>
      <x:c r="G47" s="19" t="str">
        <x:v>- La capacidad disponible es 200.00 porque el monto de factura excede los totales ligados.
- El saldo no pagado es 400.00 porque pending_credit se excluye del total pagado.
- Una factura completamente usada/pagada no cuenta en ninguno de los dos grupos.</x:v>
      </x:c>
      <x:c r="H47" s="19" t="str">
        <x:v>Usar columnas de monto, total de pagos y pendiente en la lista de facturas.</x:v>
      </x:c>
      <x:c r="I47" s="19" t="str">
        <x:v>invoice/tests.py:565</x:v>
      </x:c>
      <x:c r="J47" s="19" t="str">
        <x:v>invoice/services.py:97, invoice/models.py:47, invoice/models.py:136</x:v>
      </x:c>
      <x:c r="K47" s="19" t="str"/>
      <x:c r="L47" s="19" t="str">
        <x:v>Sin iniciar</x:v>
      </x:c>
      <x:c r="M47" s="19" t="str"/>
      <x:c r="N47" s="28"/>
      <x:c r="O47" s="19" t="str"/>
      <x:c r="P47" s="19" t="str"/>
      <x:c r="Q47" s="20" t="str"/>
    </x:row>
    <x:row r="48" ht="48" hidden="0" customHeight="1">
      <x:c r="A48" s="24" t="str">
        <x:v>INV-012</x:v>
      </x:c>
      <x:c r="B48" s="25" t="str">
        <x:v>Facturas</x:v>
      </x:c>
      <x:c r="C48" s="25" t="str">
        <x:v>P2</x:v>
      </x:c>
      <x:c r="D48" s="19" t="str">
        <x:v>Pantallas admin de crear y editar factura guardan campos y ligas</x:v>
      </x:c>
      <x:c r="E48" s="19" t="str">
        <x:v>Usuario staff/admin y cliente listo para facturar.</x:v>
      </x:c>
      <x:c r="F48" s="19" t="str">
        <x:v>1. Abrir Administrador &gt; Facturas &gt; Nueva Factura.
2. Crear factura con cliente, serie, folio y amount 150.00.
3. Abrir edición y ligar una orden completada.</x:v>
      </x:c>
      <x:c r="G48" s="19" t="str">
        <x:v>- Crear redirige a la página de edición.
- La factura existe con identifier/folio/amount capturados.
- La orden ligada aparece en la tabla de ventas ligadas de la factura.</x:v>
      </x:c>
      <x:c r="H48" s="19" t="str">
        <x:v>El campo de archivo se puede probar aparte si QA tiene PDF/XML de muestra.</x:v>
      </x:c>
      <x:c r="I48" s="19" t="str">
        <x:v>invoice/tests.py:523, invoice/tests.py:536, invoice/tests.py:542</x:v>
      </x:c>
      <x:c r="J48" s="19" t="str">
        <x:v>invoice/views.py:120, invoice/views.py:142</x:v>
      </x:c>
      <x:c r="K48" s="19" t="str"/>
      <x:c r="L48" s="19" t="str">
        <x:v>Sin iniciar</x:v>
      </x:c>
      <x:c r="M48" s="19" t="str"/>
      <x:c r="N48" s="28"/>
      <x:c r="O48" s="19" t="str"/>
      <x:c r="P48" s="19" t="str"/>
      <x:c r="Q48" s="20" t="str"/>
    </x:row>
    <x:row r="49" ht="48" hidden="0" customHeight="1">
      <x:c r="A49" s="24" t="str">
        <x:v>CAN-001</x:v>
      </x:c>
      <x:c r="B49" s="25" t="str">
        <x:v>Cancelaciones</x:v>
      </x:c>
      <x:c r="C49" s="25" t="str">
        <x:v>P0</x:v>
      </x:c>
      <x:c r="D49" s="19" t="str">
        <x:v>Cancelar orden pendiente la marca como cancelada sin borrar productos</x:v>
      </x:c>
      <x:c r="E49" s="19" t="str">
        <x:v>Existe una orden pendiente con al menos un producto.</x:v>
      </x:c>
      <x:c r="F49" s="19" t="str">
        <x:v>1. Abrir pantalla de la orden.
2. Hacer clic en cancelar orden y confirmar.
3. Abrir admin/detalle de la orden.</x:v>
      </x:c>
      <x:c r="G49" s="19" t="str">
        <x:v>- El estado de la orden cambia a CANCELLED.
- Las filas OrderProduct siguen presentes para auditoría/historial.
- No se marca bandera de revisión de cancelación.</x:v>
      </x:c>
      <x:c r="H49" s="19" t="str">
        <x:v>Revisar filtros de lista de órdenes activas/canceladas.</x:v>
      </x:c>
      <x:c r="I49" s="19" t="str">
        <x:v>orders/tests.py:656, orders/tests.py:929</x:v>
      </x:c>
      <x:c r="J49" s="19" t="str">
        <x:v>orders/services.py:329, orders/services.py:398, orders/views.py:528</x:v>
      </x:c>
      <x:c r="K49" s="19" t="str"/>
      <x:c r="L49" s="19" t="str">
        <x:v>Sin iniciar</x:v>
      </x:c>
      <x:c r="M49" s="19" t="str"/>
      <x:c r="N49" s="28"/>
      <x:c r="O49" s="19" t="str"/>
      <x:c r="P49" s="19" t="str"/>
      <x:c r="Q49" s="20" t="str"/>
    </x:row>
    <x:row r="50" ht="48" hidden="0" customHeight="1">
      <x:c r="A50" s="24" t="str">
        <x:v>CAN-002</x:v>
      </x:c>
      <x:c r="B50" s="25" t="str">
        <x:v>Cancelaciones</x:v>
      </x:c>
      <x:c r="C50" s="25" t="str">
        <x:v>P0</x:v>
      </x:c>
      <x:c r="D50" s="19" t="str">
        <x:v>Cancelar orden completada pagada en efectivo revierte estado del pago externo</x:v>
      </x:c>
      <x:c r="E50" s="19" t="str">
        <x:v>Orden completada con pago cash completado.</x:v>
      </x:c>
      <x:c r="F50" s="19" t="str">
        <x:v>1. Cancelar la orden completada.
2. Abrir pagos de la orden.</x:v>
      </x:c>
      <x:c r="G50" s="19" t="str">
        <x:v>- El estado de la orden cambia a CANCELLED.
- El pago cash cambia a status reversed.
- Balance y deuda del cliente no cambian para pago solo en efectivo.</x:v>
      </x:c>
      <x:c r="H50" s="19" t="str">
        <x:v>Revisar que reportes no cuenten pagos revertidos.</x:v>
      </x:c>
      <x:c r="I50" s="19" t="str">
        <x:v>orders/tests.py:673, report/tests.py:437</x:v>
      </x:c>
      <x:c r="J50" s="19" t="str">
        <x:v>orders/services.py:323, orders/services.py:329, report/views.py:45</x:v>
      </x:c>
      <x:c r="K50" s="19" t="str"/>
      <x:c r="L50" s="19" t="str">
        <x:v>Sin iniciar</x:v>
      </x:c>
      <x:c r="M50" s="19" t="str"/>
      <x:c r="N50" s="28"/>
      <x:c r="O50" s="19" t="str"/>
      <x:c r="P50" s="19" t="str"/>
      <x:c r="Q50" s="20" t="str"/>
    </x:row>
    <x:row r="51" ht="60" hidden="0" customHeight="1">
      <x:c r="A51" s="24" t="str">
        <x:v>CAN-003</x:v>
      </x:c>
      <x:c r="B51" s="25" t="str">
        <x:v>Cancelaciones</x:v>
      </x:c>
      <x:c r="C51" s="25" t="str">
        <x:v>P0</x:v>
      </x:c>
      <x:c r="D51" s="19" t="str">
        <x:v>Cancelar orden pagada con saldo restaura el saldo</x:v>
      </x:c>
      <x:c r="E51" s="19" t="str">
        <x:v>Orden completada con pago balance 40.00 y saldo del cliente reducido de 100.00 a 60.00.</x:v>
      </x:c>
      <x:c r="F51" s="19" t="str">
        <x:v>1. Cancelar la orden completada.
2. Abrir historial del detalle del cliente.</x:v>
      </x:c>
      <x:c r="G51" s="19" t="str">
        <x:v>- El saldo del cliente vuelve a 100.00.
- El pago original con saldo queda marcado como reversed.
- Existe BalanceTransaction transaction_type payment_reversal y referencia el pago.</x:v>
      </x:c>
      <x:c r="H51" s="19" t="str">
        <x:v>Confirmar que la orden está en CANCELLED.</x:v>
      </x:c>
      <x:c r="I51" s="19" t="str">
        <x:v>orders/tests.py:554, orders/tests.py:693</x:v>
      </x:c>
      <x:c r="J51" s="19" t="str">
        <x:v>clients/services/balance_service.py:331, orders/services.py:267</x:v>
      </x:c>
      <x:c r="K51" s="19" t="str"/>
      <x:c r="L51" s="19" t="str">
        <x:v>Sin iniciar</x:v>
      </x:c>
      <x:c r="M51" s="19" t="str"/>
      <x:c r="N51" s="28"/>
      <x:c r="O51" s="19" t="str"/>
      <x:c r="P51" s="19" t="str"/>
      <x:c r="Q51" s="20" t="str"/>
    </x:row>
    <x:row r="52" ht="36" hidden="0" customHeight="1">
      <x:c r="A52" s="24" t="str">
        <x:v>CAN-004</x:v>
      </x:c>
      <x:c r="B52" s="25" t="str">
        <x:v>Cancelaciones</x:v>
      </x:c>
      <x:c r="C52" s="25" t="str">
        <x:v>P0</x:v>
      </x:c>
      <x:c r="D52" s="19" t="str">
        <x:v>Cancelar orden a crédito abierta revierte compra a crédito</x:v>
      </x:c>
      <x:c r="E52" s="19" t="str">
        <x:v>Orden credito completada con marcador pending_credit pendiente y CreditTransaction purchase 50.00. Cliente current_debt = 50.00.</x:v>
      </x:c>
      <x:c r="F52" s="19" t="str">
        <x:v>1. Cancelar la orden a crédito.
2. Abrir historial de crédito del cliente y pagos de la orden.</x:v>
      </x:c>
      <x:c r="G52" s="19" t="str">
        <x:v>- current_debt del cliente queda en 0.00.
- El pago pending_credit cambia a status reversed.
- Existe CreditTransaction purchase_reversal para la orden.</x:v>
      </x:c>
      <x:c r="H52" s="19" t="str">
        <x:v>Revisar que el crédito disponible se restaure.</x:v>
      </x:c>
      <x:c r="I52" s="19" t="str">
        <x:v>orders/tests.py:589, orders/tests.py:721</x:v>
      </x:c>
      <x:c r="J52" s="19" t="str">
        <x:v>clients/services/balance_service.py:367, orders/services.py:302</x:v>
      </x:c>
      <x:c r="K52" s="19" t="str"/>
      <x:c r="L52" s="19" t="str">
        <x:v>Sin iniciar</x:v>
      </x:c>
      <x:c r="M52" s="19" t="str"/>
      <x:c r="N52" s="28"/>
      <x:c r="O52" s="19" t="str"/>
      <x:c r="P52" s="19" t="str"/>
      <x:c r="Q52" s="20" t="str"/>
    </x:row>
    <x:row r="53" ht="84" hidden="0" customHeight="1">
      <x:c r="A53" s="24" t="str">
        <x:v>CAN-005</x:v>
      </x:c>
      <x:c r="B53" s="25" t="str">
        <x:v>Cancelaciones</x:v>
      </x:c>
      <x:c r="C53" s="25" t="str">
        <x:v>P0</x:v>
      </x:c>
      <x:c r="D53" s="19" t="str">
        <x:v>Cancelar orden a crédito liquidada revierte pago de liquidación y compra</x:v>
      </x:c>
      <x:c r="E53" s="19" t="str">
        <x:v>Orden a crédito con pending_credit completed, liquidación cash completed, transacciones purchase y payment. La deuda actual del cliente es 0.00.</x:v>
      </x:c>
      <x:c r="F53" s="19" t="str">
        <x:v>1. Cancelar la orden a crédito liquidada.
2. Abrir pagos de la orden y transacciones de crédito del cliente.</x:v>
      </x:c>
      <x:c r="G53" s="19" t="str">
        <x:v>- pending_credit y pago cash de liquidación cambian a reversed.
- Una transacción payment_reversal restaura la deuda liquidada.
- Una transacción purchase_reversal revierte la compra original a crédito.
- current_debt final del cliente permanece en 0.00.</x:v>
      </x:c>
      <x:c r="H53" s="19" t="str">
        <x:v>La orden queda CANCELLED y el reporte de crédito ya no infla crédito abierto.</x:v>
      </x:c>
      <x:c r="I53" s="19" t="str">
        <x:v>orders/tests.py:607, orders/tests.py:757, clients/tests_credit_report_service.py:186</x:v>
      </x:c>
      <x:c r="J53" s="19" t="str">
        <x:v>orders/services.py:281, orders/services.py:302, orders/services.py:323</x:v>
      </x:c>
      <x:c r="K53" s="19" t="str"/>
      <x:c r="L53" s="19" t="str">
        <x:v>Sin iniciar</x:v>
      </x:c>
      <x:c r="M53" s="19" t="str"/>
      <x:c r="N53" s="28"/>
      <x:c r="O53" s="19" t="str"/>
      <x:c r="P53" s="19" t="str"/>
      <x:c r="Q53" s="20" t="str"/>
    </x:row>
    <x:row r="54" ht="60" hidden="0" customHeight="1">
      <x:c r="A54" s="24" t="str">
        <x:v>CAN-006</x:v>
      </x:c>
      <x:c r="B54" s="25" t="str">
        <x:v>Cancelaciones</x:v>
      </x:c>
      <x:c r="C54" s="25" t="str">
        <x:v>P0</x:v>
      </x:c>
      <x:c r="D54" s="19" t="str">
        <x:v>Cancelar orden cuyo saldo agregado fue gastado requiere revisión</x:v>
      </x:c>
      <x:c r="E54" s="19" t="str">
        <x:v>La orden con cantidad_cobrada agregó 50.00 al saldo del cliente, pero el balance actual ya es 0.00.</x:v>
      </x:c>
      <x:c r="F54" s="19" t="str">
        <x:v>1. Intentar cancelar la orden completada.
2. Abrir lista/admin de órdenes.</x:v>
      </x:c>
      <x:c r="G54" s="19" t="str">
        <x:v>- La cancelación falla con review_required true.
- La orden permanece COMPLETED.
- cancellation_review_required queda true y la razón menciona saldo.
- Aparece badge de revisión en lista/admin de órdenes.</x:v>
      </x:c>
      <x:c r="H54" s="19" t="str">
        <x:v>Finanzas/admin debe resolver manualmente antes de reintentar.</x:v>
      </x:c>
      <x:c r="I54" s="19" t="str">
        <x:v>orders/tests.py:819, orders/tests.py:1163, orders/tests.py:1179</x:v>
      </x:c>
      <x:c r="J54" s="19" t="str">
        <x:v>orders/services.py:237, orders/services.py:329, orders/views.py:305</x:v>
      </x:c>
      <x:c r="K54" s="19" t="str"/>
      <x:c r="L54" s="19" t="str">
        <x:v>Sin iniciar</x:v>
      </x:c>
      <x:c r="M54" s="19" t="str"/>
      <x:c r="N54" s="28"/>
      <x:c r="O54" s="19" t="str"/>
      <x:c r="P54" s="19" t="str"/>
      <x:c r="Q54" s="20" t="str"/>
    </x:row>
    <x:row r="55" ht="48" hidden="0" customHeight="1">
      <x:c r="A55" s="24" t="str">
        <x:v>CAN-007</x:v>
      </x:c>
      <x:c r="B55" s="25" t="str">
        <x:v>Cancelaciones</x:v>
      </x:c>
      <x:c r="C55" s="25" t="str">
        <x:v>P0</x:v>
      </x:c>
      <x:c r="D55" s="19" t="str">
        <x:v>Cancelar orden ligada a factura requiere revisión</x:v>
      </x:c>
      <x:c r="E55" s="19" t="str">
        <x:v>Orden completada ligada a una factura.</x:v>
      </x:c>
      <x:c r="F55" s="19" t="str">
        <x:v>1. Intentar cancelar la orden.
2. Abrir lista de órdenes y facturas en detalle del cliente.</x:v>
      </x:c>
      <x:c r="G55" s="19" t="str">
        <x:v>- La cancelación falla con review_required true.
- La orden permanece COMPLETED.
- La razón de revisión menciona factura.
- Aparece badge de revisión en listas de usuario/admin.</x:v>
      </x:c>
      <x:c r="H55" s="19" t="str">
        <x:v>La liga de factura debe revisarse antes de proceder con cancelación.</x:v>
      </x:c>
      <x:c r="I55" s="19" t="str">
        <x:v>orders/tests.py:844, orders/tests.py:959</x:v>
      </x:c>
      <x:c r="J55" s="19" t="str">
        <x:v>orders/services.py:329, orders/views.py:528</x:v>
      </x:c>
      <x:c r="K55" s="19" t="str"/>
      <x:c r="L55" s="19" t="str">
        <x:v>Sin iniciar</x:v>
      </x:c>
      <x:c r="M55" s="19" t="str"/>
      <x:c r="N55" s="28"/>
      <x:c r="O55" s="19" t="str"/>
      <x:c r="P55" s="19" t="str"/>
      <x:c r="Q55" s="20" t="str"/>
    </x:row>
    <x:row r="56" ht="48" hidden="0" customHeight="1">
      <x:c r="A56" s="24" t="str">
        <x:v>CAN-008</x:v>
      </x:c>
      <x:c r="B56" s="25" t="str">
        <x:v>Cancelaciones</x:v>
      </x:c>
      <x:c r="C56" s="25" t="str">
        <x:v>P2</x:v>
      </x:c>
      <x:c r="D56" s="19" t="str">
        <x:v>Reintento exitoso de cancelación limpia metadatos de revisión</x:v>
      </x:c>
      <x:c r="E56" s="19" t="str">
        <x:v>Orden con cancellation_review_required true por un intento bloqueado previo y el bloqueo ya fue resuelto.</x:v>
      </x:c>
      <x:c r="F56" s="19" t="str">
        <x:v>1. Reintentar cancelación después de resolver el problema.
2. Abrir registro de la orden.</x:v>
      </x:c>
      <x:c r="G56" s="19" t="str">
        <x:v>- La cancelación se completa.
- El estado de la orden cambia a CANCELLED.
- cancellation_review_required, reason, requested_at y requested_by quedan limpios.</x:v>
      </x:c>
      <x:c r="H56" s="19" t="str">
        <x:v>La orden ya no aparece bajo filtro REVIEW_REQUIRED.</x:v>
      </x:c>
      <x:c r="I56" s="19" t="str">
        <x:v>orders/tests.py:864, orders/tests.py:1195</x:v>
      </x:c>
      <x:c r="J56" s="19" t="str">
        <x:v>orders/services.py:230, orders/services.py:329</x:v>
      </x:c>
      <x:c r="K56" s="19" t="str"/>
      <x:c r="L56" s="19" t="str">
        <x:v>Sin iniciar</x:v>
      </x:c>
      <x:c r="M56" s="19" t="str"/>
      <x:c r="N56" s="28"/>
      <x:c r="O56" s="19" t="str"/>
      <x:c r="P56" s="19" t="str"/>
      <x:c r="Q56" s="20" t="str"/>
    </x:row>
    <x:row r="57" ht="72" hidden="0" customHeight="1">
      <x:c r="A57" s="24" t="str">
        <x:v>REP-001</x:v>
      </x:c>
      <x:c r="B57" s="25" t="str">
        <x:v>Reportes</x:v>
      </x:c>
      <x:c r="C57" s="25" t="str">
        <x:v>P0</x:v>
      </x:c>
      <x:c r="D57" s="19" t="str">
        <x:v>Reporte global de crédito muestra columnas de crédito y ordenamiento correcto</x:v>
      </x:c>
      <x:c r="E57" s="19" t="str">
        <x:v>Cliente activo Tempano con current_debt 17000.00, credit_limit 20000.00, vencido 9700.00. Cliente activo Vigor con current_debt 8300.00 sin vencido. También existen clientes inactivos y sin crédito.</x:v>
      </x:c>
      <x:c r="F57" s="19" t="str">
        <x:v>1. Abrir Reportes &gt; Crédito global.
2. Revisar filas y totales.</x:v>
      </x:c>
      <x:c r="G57" s="19" t="str">
        <x:v>- Columnas incluyen Crédito vigente, Línea de crédito autorizada, Disponible y Monto vencido.
- Aparecen clientes activos con crédito/deuda.
- Clientes inactivos y sin crédito/sin deuda se excluyen.
- Las filas se ordenan por monto vencido descendente y luego deuda actual descendente.</x:v>
      </x:c>
      <x:c r="H57" s="19" t="str">
        <x:v>Usar filtro de búsqueda si el dataset es grande.</x:v>
      </x:c>
      <x:c r="I57" s="19" t="str">
        <x:v>clients/tests_credit_report_service.py:73, report/tests.py:506</x:v>
      </x:c>
      <x:c r="J57" s="19" t="str">
        <x:v>clients/services/credit_report_service.py:261, report/views.py:235</x:v>
      </x:c>
      <x:c r="K57" s="19" t="str"/>
      <x:c r="L57" s="19" t="str">
        <x:v>Sin iniciar</x:v>
      </x:c>
      <x:c r="M57" s="19" t="str"/>
      <x:c r="N57" s="28"/>
      <x:c r="O57" s="19" t="str"/>
      <x:c r="P57" s="19" t="str"/>
      <x:c r="Q57" s="20" t="str"/>
    </x:row>
    <x:row r="58" ht="60" hidden="0" customHeight="1">
      <x:c r="A58" s="24" t="str">
        <x:v>REP-002</x:v>
      </x:c>
      <x:c r="B58" s="25" t="str">
        <x:v>Reportes</x:v>
      </x:c>
      <x:c r="C58" s="25" t="str">
        <x:v>P0</x:v>
      </x:c>
      <x:c r="D58" s="19" t="str">
        <x:v>Reporte de crédito de cliente separa crédito abierto facturado y no facturado</x:v>
      </x:c>
      <x:c r="E58" s="19" t="str">
        <x:v>Cliente con dos órdenes a crédito facturadas por 9700.00 y una orden a crédito sin factura por 4500.00. Current debt = 14200.00.</x:v>
      </x:c>
      <x:c r="F58" s="19" t="str">
        <x:v>1. Abrir detalle de cliente y hacer clic en Reporte de crédito.
2. Revisar secciones del reporte detallado.</x:v>
      </x:c>
      <x:c r="G58" s="19" t="str">
        <x:v>- Total de crédito facturado es 9700.00.
- Total de crédito no facturado es 4500.00.
- El ítem de factura muestra identifier/folio de la factura.
- No aparece advertencia de reconciliación cuando current_debt coincide con crédito abierto total.</x:v>
      </x:c>
      <x:c r="H58" s="19" t="str">
        <x:v>Revisar que exista la liga al reporte desde detalle del cliente.</x:v>
      </x:c>
      <x:c r="I58" s="19" t="str">
        <x:v>clients/tests_credit_report_service.py:120, report/tests.py:528, report/tests.py:556</x:v>
      </x:c>
      <x:c r="J58" s="19" t="str">
        <x:v>clients/services/credit_report_service.py:250, clients/views.py:608, report/views.py:290</x:v>
      </x:c>
      <x:c r="K58" s="19" t="str"/>
      <x:c r="L58" s="19" t="str">
        <x:v>Sin iniciar</x:v>
      </x:c>
      <x:c r="M58" s="19" t="str"/>
      <x:c r="N58" s="28"/>
      <x:c r="O58" s="19" t="str"/>
      <x:c r="P58" s="19" t="str"/>
      <x:c r="Q58" s="20" t="str"/>
    </x:row>
    <x:row r="59" ht="60" hidden="0" customHeight="1">
      <x:c r="A59" s="24" t="str">
        <x:v>REP-003</x:v>
      </x:c>
      <x:c r="B59" s="25" t="str">
        <x:v>Reportes</x:v>
      </x:c>
      <x:c r="C59" s="25" t="str">
        <x:v>P1</x:v>
      </x:c>
      <x:c r="D59" s="19" t="str">
        <x:v>Crédito invoice_due no facturado no está vencido hasta emisión de factura</x:v>
      </x:c>
      <x:c r="E59" s="19" t="str">
        <x:v>Cliente usa invoice_due. Existe orden a crédito antigua sin liga a factura con emmited_at.</x:v>
      </x:c>
      <x:c r="F59" s="19" t="str">
        <x:v>1. Abrir reporte global de crédito y reporte de crédito del cliente.
2. Inspeccionar monto vencido y fecha de vencimiento de la orden.</x:v>
      </x:c>
      <x:c r="G59" s="19" t="str">
        <x:v>- El monto vencido del reporte global es 0.00 para este cliente/orden.
- El reporte de cliente no muestra fecha de vencimiento para la orden sin factura.
- La orden sin factura no se marca como vencida.</x:v>
      </x:c>
      <x:c r="H59" s="19" t="str">
        <x:v>Después ligar factura/fecha de emisión y ejecutar CFG-007.</x:v>
      </x:c>
      <x:c r="I59" s="19" t="str">
        <x:v>clients/tests_credit_report_service.py:164</x:v>
      </x:c>
      <x:c r="J59" s="19" t="str">
        <x:v>clients/services/pending_payment_service.py:40, clients/services/credit_report_service.py:143</x:v>
      </x:c>
      <x:c r="K59" s="19" t="str"/>
      <x:c r="L59" s="19" t="str">
        <x:v>Sin iniciar</x:v>
      </x:c>
      <x:c r="M59" s="19" t="str"/>
      <x:c r="N59" s="28"/>
      <x:c r="O59" s="19" t="str"/>
      <x:c r="P59" s="19" t="str"/>
      <x:c r="Q59" s="20" t="str"/>
    </x:row>
    <x:row r="60" ht="48" hidden="0" customHeight="1">
      <x:c r="A60" s="24" t="str">
        <x:v>REP-004</x:v>
      </x:c>
      <x:c r="B60" s="25" t="str">
        <x:v>Reportes</x:v>
      </x:c>
      <x:c r="C60" s="25" t="str">
        <x:v>P1</x:v>
      </x:c>
      <x:c r="D60" s="19" t="str">
        <x:v>Órdenes canceladas y pagos revertidos no inflan crédito abierto ni reportes de pagos</x:v>
      </x:c>
      <x:c r="E60" s="19" t="str">
        <x:v>Cliente con orden a crédito activa 100.00, orden a crédito cancelada 500.00 y pago cash revertido 100.00.</x:v>
      </x:c>
      <x:c r="F60" s="19" t="str">
        <x:v>1. Abrir reporte de crédito del cliente.
2. Abrir reportes de órdenes/pagos filtrados por método de pago si aplica.</x:v>
      </x:c>
      <x:c r="G60" s="19" t="str">
        <x:v>- El total de crédito abierto permanece en 100.00.
- El monto vencido solo incluye orden activa sin pagar.
- El pago revertido se ignora en reportes filtrados por método de pago.</x:v>
      </x:c>
      <x:c r="H60" s="19" t="str">
        <x:v>Revisar que la orden cancelada se excluya por defecto de reportes.</x:v>
      </x:c>
      <x:c r="I60" s="19" t="str">
        <x:v>clients/tests_credit_report_service.py:186, report/tests.py:437</x:v>
      </x:c>
      <x:c r="J60" s="19" t="str">
        <x:v>clients/services/credit_report_service.py:100, report/views.py:39, report/views.py:45</x:v>
      </x:c>
      <x:c r="K60" s="19" t="str"/>
      <x:c r="L60" s="19" t="str">
        <x:v>Sin iniciar</x:v>
      </x:c>
      <x:c r="M60" s="19" t="str"/>
      <x:c r="N60" s="28"/>
      <x:c r="O60" s="19" t="str"/>
      <x:c r="P60" s="19" t="str"/>
      <x:c r="Q60" s="20" t="str"/>
    </x:row>
    <x:row r="61" ht="72" hidden="0" customHeight="1">
      <x:c r="A61" s="24" t="str">
        <x:v>REP-005</x:v>
      </x:c>
      <x:c r="B61" s="25" t="str">
        <x:v>Reportes</x:v>
      </x:c>
      <x:c r="C61" s="25" t="str">
        <x:v>P2</x:v>
      </x:c>
      <x:c r="D61" s="19" t="str">
        <x:v>Export CSV del reporte global de crédito contiene columnas requeridas</x:v>
      </x:c>
      <x:c r="E61" s="19" t="str">
        <x:v>El reporte de crédito tiene al menos una fila de cliente.</x:v>
      </x:c>
      <x:c r="F61" s="19" t="str">
        <x:v>1. Abrir reporte global de crédito.
2. Hacer clic en exportar CSV.
3. Abrir el CSV descargado.</x:v>
      </x:c>
      <x:c r="G61" s="19" t="str">
        <x:v>- Headers CSV: Cliente, Crédito vigente, Línea de crédito autorizada, Disponible, Monto vencido.
- Los valores de moneda se exportan como decimales crudos con dos decimales.
- Los filtros de búsqueda se preservan en la liga de exportación.</x:v>
      </x:c>
      <x:c r="H61" s="19" t="str">
        <x:v>Validar con cliente llamado Tempano si se usa dataset de prueba.</x:v>
      </x:c>
      <x:c r="I61" s="19" t="str">
        <x:v>report/tests.py:520</x:v>
      </x:c>
      <x:c r="J61" s="19" t="str">
        <x:v>report/views.py:200, report/views.py:262</x:v>
      </x:c>
      <x:c r="K61" s="19" t="str"/>
      <x:c r="L61" s="19" t="str">
        <x:v>Sin iniciar</x:v>
      </x:c>
      <x:c r="M61" s="19" t="str"/>
      <x:c r="N61" s="28"/>
      <x:c r="O61" s="19" t="str"/>
      <x:c r="P61" s="19" t="str"/>
      <x:c r="Q61" s="20" t="str"/>
    </x:row>
    <x:row r="62" ht="36" hidden="0" customHeight="1">
      <x:c r="A62" s="26" t="str">
        <x:v>REP-006</x:v>
      </x:c>
      <x:c r="B62" s="27" t="str">
        <x:v>Reportes</x:v>
      </x:c>
      <x:c r="C62" s="27" t="str">
        <x:v>P2</x:v>
      </x:c>
      <x:c r="D62" s="22" t="str">
        <x:v>Modo créditos de lista de clientes filtra clientes con deuda</x:v>
      </x:c>
      <x:c r="E62" s="22" t="str">
        <x:v>Al menos un cliente tiene current_debt &gt; 0 y al menos un cliente activo tiene deuda cero.</x:v>
      </x:c>
      <x:c r="F62" s="22" t="str">
        <x:v>1. Abrir lista de clientes con mode=credits.
2. Usar búsqueda y paginación.</x:v>
      </x:c>
      <x:c r="G62" s="22" t="str">
        <x:v>- Solo aparecen clientes con current_debt mayor a 0.
- Búsqueda y paginación preservan mode=credits.
- Título/subtítulo indican contexto de cobranza de crédito.</x:v>
      </x:c>
      <x:c r="H62" s="22" t="str">
        <x:v>Usar detalle del cliente para clientes seleccionados con deuda.</x:v>
      </x:c>
      <x:c r="I62" s="22" t="str">
        <x:v>clients/tests.py:596, clients/tests.py:640</x:v>
      </x:c>
      <x:c r="J62" s="22" t="str">
        <x:v>clients/views.py:777</x:v>
      </x:c>
      <x:c r="K62" s="22" t="str"/>
      <x:c r="L62" s="22" t="str">
        <x:v>Sin iniciar</x:v>
      </x:c>
      <x:c r="M62" s="22" t="str"/>
      <x:c r="N62" s="29"/>
      <x:c r="O62" s="22" t="str"/>
      <x:c r="P62" s="22" t="str"/>
      <x:c r="Q62" s="23" t="str"/>
    </x:row>
  </x:sheetData>
  <x:conditionalFormatting sqref="L2:L62">
    <x:cfRule type="containsText" dxfId="0" priority="1" operator="containsText" text="Aprobado"/>
    <x:cfRule type="containsText" dxfId="1" priority="2" operator="containsText" text="Fallido"/>
    <x:cfRule type="containsText" dxfId="2" priority="3" operator="containsText" text="Bloqueado"/>
  </x:conditionalFormatting>
  <x:dataValidations count="3">
    <x:dataValidation type="list" sqref="L2:L62">
      <x:formula1>"Sin iniciar,Aprobado,Fallido,Bloqueado,N/A"</x:formula1>
    </x:dataValidation>
    <x:dataValidation type="list" sqref="B2:B62">
      <x:formula1>"Pagos,Balance,Deuda,Órdenes a crédito,Config crédito,Facturas,Cancelaciones,Reportes"</x:formula1>
    </x:dataValidation>
    <x:dataValidation type="list" sqref="C2:C6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c75409440740a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.5600004196167" hidden="0" customWidth="1"/>
    <x:col min="3" max="3" width="47.779998779296875" hidden="0" customWidth="1"/>
    <x:col min="4" max="4" width="26.670000076293945" hidden="0" customWidth="1"/>
    <x:col min="5" max="5" width="36.66999816894531" hidden="0" customWidth="1"/>
  </x:cols>
  <x:sheetData>
    <x:row r="1" ht="15" hidden="0" customHeight="1">
      <x:c r="A1" s="15" t="str">
        <x:v>ID Setup</x:v>
      </x:c>
      <x:c r="B1" s="16" t="str">
        <x:v>Entidad</x:v>
      </x:c>
      <x:c r="C1" s="16" t="str">
        <x:v>Instrucciones de preparación</x:v>
      </x:c>
      <x:c r="D1" s="16" t="str">
        <x:v>Usado por</x:v>
      </x:c>
      <x:c r="E1" s="17" t="str">
        <x:v>Notas</x:v>
      </x:c>
    </x:row>
    <x:row r="2" ht="24" hidden="0" customHeight="1">
      <x:c r="A2" s="18" t="str">
        <x:v>SET-001</x:v>
      </x:c>
      <x:c r="B2" s="19" t="str">
        <x:v>Usuario</x:v>
      </x:c>
      <x:c r="C2" s="19" t="str">
        <x:v>Crear o usar una cuenta QA staff/superuser.</x:v>
      </x:c>
      <x:c r="D2" s="19" t="str">
        <x:v>Todos los casos admin y reportes</x:v>
      </x:c>
      <x:c r="E2" s="20" t="str">
        <x:v>Usar la misma cuenta para que created_by sea fácil de auditar.</x:v>
      </x:c>
    </x:row>
    <x:row r="3" ht="24" hidden="0" customHeight="1">
      <x:c r="A3" s="18" t="str">
        <x:v>SET-002</x:v>
      </x:c>
      <x:c r="B3" s="19" t="str">
        <x:v>Producto</x:v>
      </x:c>
      <x:c r="C3" s="19" t="str">
        <x:v>Crear producto QA Garrafón con precio conocido, por ejemplo 25.00.</x:v>
      </x:c>
      <x:c r="D3" s="19" t="str">
        <x:v>Casos de creación de órdenes</x:v>
      </x:c>
      <x:c r="E3" s="20" t="str">
        <x:v>Cualquier producto sirve si los totales de orden coinciden con los montos del escenario.</x:v>
      </x:c>
    </x:row>
    <x:row r="4" ht="24" hidden="0" customHeight="1">
      <x:c r="A4" s="18" t="str">
        <x:v>SET-003</x:v>
      </x:c>
      <x:c r="B4" s="19" t="str">
        <x:v>Cliente contado</x:v>
      </x:c>
      <x:c r="C4" s="19" t="str">
        <x:v>Crear QA Contado con balance 0.00, credit_limit 0.00, current_debt 0.00.</x:v>
      </x:c>
      <x:c r="D4" s="19" t="str">
        <x:v>PAY-001, PAY-003, PAY-006</x:v>
      </x:c>
      <x:c r="E4" s="20" t="str">
        <x:v>Usar para flujos ordinarios de pago.</x:v>
      </x:c>
    </x:row>
    <x:row r="5" ht="24" hidden="0" customHeight="1">
      <x:c r="A5" s="18" t="str">
        <x:v>SET-004</x:v>
      </x:c>
      <x:c r="B5" s="19" t="str">
        <x:v>Cliente con saldo</x:v>
      </x:c>
      <x:c r="C5" s="19" t="str">
        <x:v>Crear QA Balance con balance 100.00 y current_debt 0.00.</x:v>
      </x:c>
      <x:c r="D5" s="19" t="str">
        <x:v>PAY-002, PAY-004, BAL-001, BAL-002, CAN-003</x:v>
      </x:c>
      <x:c r="E5" s="20" t="str">
        <x:v>Registrar saldo inicial antes de cada prueba.</x:v>
      </x:c>
    </x:row>
    <x:row r="6" ht="24" hidden="0" customHeight="1">
      <x:c r="A6" s="18" t="str">
        <x:v>SET-005</x:v>
      </x:c>
      <x:c r="B6" s="19" t="str">
        <x:v>Cliente crédito OK</x:v>
      </x:c>
      <x:c r="C6" s="19" t="str">
        <x:v>Crear QA Crédito OK con balance 0.00, credit_limit 500.00, current_debt 0.00, can_pay_with_credit true, monthly_cutoff last_day.</x:v>
      </x:c>
      <x:c r="D6" s="19" t="str">
        <x:v>CRED-001, CRED-006, CRED-008, REP-001</x:v>
      </x:c>
      <x:c r="E6" s="20" t="str">
        <x:v>Usar montos exactos de deuda/límite según cada escenario.</x:v>
      </x:c>
    </x:row>
    <x:row r="7" ht="24" hidden="0" customHeight="1">
      <x:c r="A7" s="18" t="str">
        <x:v>SET-006</x:v>
      </x:c>
      <x:c r="B7" s="19" t="str">
        <x:v>Cliente crédito mixto</x:v>
      </x:c>
      <x:c r="C7" s="19" t="str">
        <x:v>Crear QA Crédito Mixto con balance 30.00, credit_limit 100.00, current_debt 0.00, can_pay_with_credit true.</x:v>
      </x:c>
      <x:c r="D7" s="19" t="str">
        <x:v>CRED-002, CRED-005</x:v>
      </x:c>
      <x:c r="E7" s="20" t="str">
        <x:v>Reiniciar saldo/deuda entre ejecuciones.</x:v>
      </x:c>
    </x:row>
    <x:row r="8" ht="24" hidden="0" customHeight="1">
      <x:c r="A8" s="18" t="str">
        <x:v>SET-007</x:v>
      </x:c>
      <x:c r="B8" s="19" t="str">
        <x:v>Cliente crédito bloqueado</x:v>
      </x:c>
      <x:c r="C8" s="19" t="str">
        <x:v>Crear QA Crédito Bloqueado con balance 30.00, credit_limit 200.00, current_debt 0.00, can_pay_with_credit false.</x:v>
      </x:c>
      <x:c r="D8" s="19" t="str">
        <x:v>CRED-004, CFG-001</x:v>
      </x:c>
      <x:c r="E8" s="20" t="str">
        <x:v>La etiqueta del checkbox está invertida: marcado significa bloquear crédito.</x:v>
      </x:c>
    </x:row>
    <x:row r="9" ht="24" hidden="0" customHeight="1">
      <x:c r="A9" s="18" t="str">
        <x:v>SET-008</x:v>
      </x:c>
      <x:c r="B9" s="19" t="str">
        <x:v>Corporativo listo para factura</x:v>
      </x:c>
      <x:c r="C9" s="19" t="str">
        <x:v>Crear QA Factura Corp con type corporate, InvoiceData RFC/razon_social y una dirección fiscal/facturación activa.</x:v>
      </x:c>
      <x:c r="D9" s="19" t="str">
        <x:v>INV-001 a INV-012</x:v>
      </x:c>
      <x:c r="E9" s="20" t="str">
        <x:v>Las pruebas usan RFC placeholder tipo AAA010101AAA.</x:v>
      </x:c>
    </x:row>
    <x:row r="10" ht="24" hidden="0" customHeight="1">
      <x:c r="A10" s="18" t="str">
        <x:v>SET-009</x:v>
      </x:c>
      <x:c r="B10" s="19" t="str">
        <x:v>Par sucursal/corporativo</x:v>
      </x:c>
      <x:c r="C10" s="19" t="str">
        <x:v>Crear clientes corporativo y sucursal para herencia y validación de factura; variar completitud fiscal corporativa.</x:v>
      </x:c>
      <x:c r="D10" s="19" t="str">
        <x:v>CFG-003, CFG-004, CFG-005, INV-010</x:v>
      </x:c>
      <x:c r="E10" s="20" t="str">
        <x:v>Los datos fiscales de sucursal no deben saltarse la validación fiscal corporativa.</x:v>
      </x:c>
    </x:row>
    <x:row r="11" ht="24" hidden="0" customHeight="1">
      <x:c r="A11" s="18" t="str">
        <x:v>SET-010</x:v>
      </x:c>
      <x:c r="B11" s="19" t="str">
        <x:v>Dataset reporte crédito</x:v>
      </x:c>
      <x:c r="C11" s="19" t="str">
        <x:v>Crear clientes estilo Tempano/Vigor con compras a crédito fechadas 2026-04-01 y 2026-07-01.</x:v>
      </x:c>
      <x:c r="D11" s="19" t="str">
        <x:v>REP-001, REP-002, REP-003, REP-004</x:v>
      </x:c>
      <x:c r="E11" s="20" t="str">
        <x:v>Usar base QA desechable porque las fechas son específicas del escenario.</x:v>
      </x:c>
    </x:row>
    <x:row r="12" ht="24" hidden="0" customHeight="1">
      <x:c r="A12" s="18" t="str">
        <x:v>SET-011</x:v>
      </x:c>
      <x:c r="B12" s="19" t="str">
        <x:v>Términos invoice_due</x:v>
      </x:c>
      <x:c r="C12" s="19" t="str">
        <x:v>Para pruebas invoice_due, configurar requires_billing true y max_payment_days 30.</x:v>
      </x:c>
      <x:c r="D12" s="19" t="str">
        <x:v>CFG-002, CFG-007, REP-003</x:v>
      </x:c>
      <x:c r="E12" s="20" t="str">
        <x:v>Órdenes sin factura no deben tener fecha de vencimiento.</x:v>
      </x:c>
    </x:row>
    <x:row r="13" ht="24" hidden="0" customHeight="1">
      <x:c r="A13" s="21" t="str">
        <x:v>SET-012</x:v>
      </x:c>
      <x:c r="B13" s="22" t="str">
        <x:v>Limpieza/reinicio</x:v>
      </x:c>
      <x:c r="C13" s="22" t="str">
        <x:v>Después de cada caso con movimiento de dinero, registrar saldos/deudas iniciales y finales, IDs de orden, pago y transacciones.</x:v>
      </x:c>
      <x:c r="D13" s="22" t="str">
        <x:v>Todos los casos financieros</x:v>
      </x:c>
      <x:c r="E13" s="23" t="str">
        <x:v>Esta hoja es para notas de ejecución manual, no para teardown automatizado.</x:v>
      </x:c>
    </x:row>
  </x:sheetData>
  <x:pageMargins left="0.7" right="0.7" top="0.75" bottom="0.75" header="0.3" footer="0.3"/>
  <x:tableParts count="1">
    <x:tablePart xmlns:r="http://schemas.openxmlformats.org/officeDocument/2006/relationships" r:id="R297da8b173634db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4399995803833" hidden="0" customWidth="1"/>
    <x:col min="2" max="2" width="33.33000183105469" hidden="0" customWidth="1"/>
    <x:col min="3" max="3" width="40" hidden="0" customWidth="1"/>
    <x:col min="4" max="4" width="40" hidden="0" customWidth="1"/>
    <x:col min="5" max="5" width="23.329999923706055" hidden="0" customWidth="1"/>
  </x:cols>
  <x:sheetData>
    <x:row r="1" ht="15" hidden="0" customHeight="1">
      <x:c r="A1" s="15" t="str">
        <x:v>Área</x:v>
      </x:c>
      <x:c r="B1" s="16" t="str">
        <x:v>Comportamiento</x:v>
      </x:c>
      <x:c r="C1" s="16" t="str">
        <x:v>Código fuente principal</x:v>
      </x:c>
      <x:c r="D1" s="16" t="str">
        <x:v>Pruebas automatizadas</x:v>
      </x:c>
      <x:c r="E1" s="17" t="str">
        <x:v>IDs de casos manuales</x:v>
      </x:c>
    </x:row>
    <x:row r="2" ht="24" hidden="0" customHeight="1">
      <x:c r="A2" s="18" t="str">
        <x:v>Pagos</x:v>
      </x:c>
      <x:c r="B2" s="19" t="str">
        <x:v>Enrutamiento de solicitud de pago, pago único/múltiple, cantidad_cobrada</x:v>
      </x:c>
      <x:c r="C2" s="19" t="str">
        <x:v>payment/services.py:33, payment/services.py:216, payment/services.py:285, payment/services.py:337</x:v>
      </x:c>
      <x:c r="D2" s="19" t="str">
        <x:v>payment/tests.py:26, payment/tests.py:56, payment/tests.py:76, payment/tests.py:118</x:v>
      </x:c>
      <x:c r="E2" s="20" t="str">
        <x:v>PAY-001 a PAY-009</x:v>
      </x:c>
    </x:row>
    <x:row r="3" ht="24" hidden="0" customHeight="1">
      <x:c r="A3" s="18" t="str">
        <x:v>Pagos</x:v>
      </x:c>
      <x:c r="B3" s="19" t="str">
        <x:v>Pantalla de pago de orden, métodos válidos, entrada para liquidar crédito pendiente</x:v>
      </x:c>
      <x:c r="C3" s="19" t="str">
        <x:v>orders/views.py:67, orders/views.py:113</x:v>
      </x:c>
      <x:c r="D3" s="19" t="str">
        <x:v>payment/tests.py:294, orders/tests.py:1511</x:v>
      </x:c>
      <x:c r="E3" s="20" t="str">
        <x:v>PAY-001, CRED-008, CRED-009</x:v>
      </x:c>
    </x:row>
    <x:row r="4" ht="36" hidden="0" customHeight="1">
      <x:c r="A4" s="18" t="str">
        <x:v>Balance</x:v>
      </x:c>
      <x:c r="B4" s="19" t="str">
        <x:v>Mutaciones de saldo y filas de auditoría</x:v>
      </x:c>
      <x:c r="C4" s="19" t="str">
        <x:v>clients/services/balance_service.py:59, clients/services/balance_service.py:120, clients/models.py:320</x:v>
      </x:c>
      <x:c r="D4" s="19" t="str">
        <x:v>tests/test_balance_credit_history.py:1, orders/tests.py:554</x:v>
      </x:c>
      <x:c r="E4" s="20" t="str">
        <x:v>BAL-001, BAL-002, CAN-003</x:v>
      </x:c>
    </x:row>
    <x:row r="5" ht="36" hidden="0" customHeight="1">
      <x:c r="A5" s="18" t="str">
        <x:v>Deuda</x:v>
      </x:c>
      <x:c r="B5" s="19" t="str">
        <x:v>Pago de deuda, pago desde saldo, cambios de límite de crédito</x:v>
      </x:c>
      <x:c r="C5" s="19" t="str">
        <x:v>clients/services/balance_service.py:261, clients/services/balance_service.py:431, clients/services/balance_service.py:488</x:v>
      </x:c>
      <x:c r="D5" s="19" t="str">
        <x:v>tests/test_balance_credit_history.py:1</x:v>
      </x:c>
      <x:c r="E5" s="20" t="str">
        <x:v>DEBT-001 a DEBT-005</x:v>
      </x:c>
    </x:row>
    <x:row r="6" ht="24" hidden="0" customHeight="1">
      <x:c r="A6" s="18" t="str">
        <x:v>Órdenes a crédito</x:v>
      </x:c>
      <x:c r="B6" s="19" t="str">
        <x:v>Ciclo de vida para registrar y liquidar órdenes a crédito</x:v>
      </x:c>
      <x:c r="C6" s="19" t="str">
        <x:v>payment/services.py:403, payment/services.py:423, payment/services.py:501, payment/services.py:108</x:v>
      </x:c>
      <x:c r="D6" s="19" t="str">
        <x:v>payment/tests.py:205, payment/tests.py:316, payment/tests.py:344, payment/tests.py:396</x:v>
      </x:c>
      <x:c r="E6" s="20" t="str">
        <x:v>CRED-001 a CRED-011</x:v>
      </x:c>
    </x:row>
    <x:row r="7" ht="36" hidden="0" customHeight="1">
      <x:c r="A7" s="18" t="str">
        <x:v>Config crédito</x:v>
      </x:c>
      <x:c r="B7" s="19" t="str">
        <x:v>Disponibilidad de crédito, paro de emergencia, override/herencia de sucursal</x:v>
      </x:c>
      <x:c r="C7" s="19" t="str">
        <x:v>clients/models.py:195, clients/models.py:199, clients/services/client_service.py:51, clients/views.py:262</x:v>
      </x:c>
      <x:c r="D7" s="19" t="str">
        <x:v>clients/tests_credit_management.py:75, clients/tests_credit_management.py:170, clients/tests_credit_management.py:301</x:v>
      </x:c>
      <x:c r="E7" s="20" t="str">
        <x:v>CFG-001 a CFG-005</x:v>
      </x:c>
    </x:row>
    <x:row r="8" ht="36" hidden="0" customHeight="1">
      <x:c r="A8" s="18" t="str">
        <x:v>Términos crédito</x:v>
      </x:c>
      <x:c r="B8" s="19" t="str">
        <x:v>Cálculo de corte mensual y fecha de vencimiento por factura</x:v>
      </x:c>
      <x:c r="C8" s="19" t="str">
        <x:v>clients/services/pending_payment_service.py:27, clients/services/pending_payment_service.py:40</x:v>
      </x:c>
      <x:c r="D8" s="19" t="str">
        <x:v>clients/tests_credit_terms.py:13, clients/tests_credit_terms.py:33, clients/tests_credit_terms.py:46</x:v>
      </x:c>
      <x:c r="E8" s="20" t="str">
        <x:v>CFG-006, CFG-007, REP-003</x:v>
      </x:c>
    </x:row>
    <x:row r="9" ht="36" hidden="0" customHeight="1">
      <x:c r="A9" s="18" t="str">
        <x:v>Facturas</x:v>
      </x:c>
      <x:c r="B9" s="19" t="str">
        <x:v>Órdenes facturables, validación de tope, creación y sincronización de factura</x:v>
      </x:c>
      <x:c r="C9" s="19" t="str">
        <x:v>invoice/services.py:265, invoice/services.py:314, invoice/services.py:352, invoice/services.py:476, invoice/services.py:534</x:v>
      </x:c>
      <x:c r="D9" s="19" t="str">
        <x:v>invoice/tests.py:38, invoice/tests.py:130, invoice/tests.py:413, invoice/tests.py:469</x:v>
      </x:c>
      <x:c r="E9" s="20" t="str">
        <x:v>INV-001 a INV-012</x:v>
      </x:c>
    </x:row>
    <x:row r="10" ht="24" hidden="0" customHeight="1">
      <x:c r="A10" s="18" t="str">
        <x:v>Facturas</x:v>
      </x:c>
      <x:c r="B10" s="19" t="str">
        <x:v>Vistas admin de factura y acción masiva Crear factura</x:v>
      </x:c>
      <x:c r="C10" s="19" t="str">
        <x:v>invoice/views.py:120, invoice/views.py:142, orders/views.py:253</x:v>
      </x:c>
      <x:c r="D10" s="19" t="str">
        <x:v>invoice/tests.py:523, invoice/tests.py:542, orders/tests.py:1043</x:v>
      </x:c>
      <x:c r="E10" s="20" t="str">
        <x:v>INV-006, INV-012</x:v>
      </x:c>
    </x:row>
    <x:row r="11" ht="36" hidden="0" customHeight="1">
      <x:c r="A11" s="18" t="str">
        <x:v>Cancelaciones</x:v>
      </x:c>
      <x:c r="B11" s="19" t="str">
        <x:v>Reversas financieras y lógica review_required</x:v>
      </x:c>
      <x:c r="C11" s="19" t="str">
        <x:v>orders/services.py:237, orders/services.py:267, orders/services.py:281, orders/services.py:302, orders/services.py:329</x:v>
      </x:c>
      <x:c r="D11" s="19" t="str">
        <x:v>orders/tests.py:656, orders/tests.py:693, orders/tests.py:721, orders/tests.py:757, orders/tests.py:819, orders/tests.py:844</x:v>
      </x:c>
      <x:c r="E11" s="20" t="str">
        <x:v>CAN-001 a CAN-008</x:v>
      </x:c>
    </x:row>
    <x:row r="12" ht="36" hidden="0" customHeight="1">
      <x:c r="A12" s="18" t="str">
        <x:v>Reportes</x:v>
      </x:c>
      <x:c r="B12" s="19" t="str">
        <x:v>Reportes de crédito global y por cliente</x:v>
      </x:c>
      <x:c r="C12" s="19" t="str">
        <x:v>clients/services/credit_report_service.py:250, clients/services/credit_report_service.py:261, report/views.py:235, report/views.py:262</x:v>
      </x:c>
      <x:c r="D12" s="19" t="str">
        <x:v>clients/tests_credit_report_service.py:73, clients/tests_credit_report_service.py:120, report/tests.py:506, report/tests.py:520</x:v>
      </x:c>
      <x:c r="E12" s="20" t="str">
        <x:v>REP-001 a REP-006</x:v>
      </x:c>
    </x:row>
    <x:row r="13" ht="24" hidden="0" customHeight="1">
      <x:c r="A13" s="21" t="str">
        <x:v>Detalle cliente</x:v>
      </x:c>
      <x:c r="B13" s="22" t="str">
        <x:v>Estado de crédito del cliente, vencidos, facturas e historial de pagos</x:v>
      </x:c>
      <x:c r="C13" s="22" t="str">
        <x:v>clients/views.py:576, clients/views.py:608, clients/services/pending_payment_service.py:94</x:v>
      </x:c>
      <x:c r="D13" s="22" t="str">
        <x:v>clients/tests.py:416, clients/tests.py:501, clients/tests_credit_management.py:542</x:v>
      </x:c>
      <x:c r="E13" s="23" t="str">
        <x:v>CRED-006, REP-002, REP-006</x:v>
      </x:c>
    </x:row>
  </x:sheetData>
  <x:pageMargins left="0.7" right="0.7" top="0.75" bottom="0.75" header="0.3" footer="0.3"/>
  <x:tableParts count="1">
    <x:tablePart xmlns:r="http://schemas.openxmlformats.org/officeDocument/2006/relationships" r:id="Rdfc3df54d536491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84.44000244140625" hidden="0" customWidth="1"/>
  </x:cols>
  <x:sheetData>
    <x:row r="1" ht="15" hidden="0" customHeight="1">
      <x:c r="A1" s="15" t="str">
        <x:v>Tema</x:v>
      </x:c>
      <x:c r="B1" s="17" t="str">
        <x:v>Guía</x:v>
      </x:c>
    </x:row>
    <x:row r="2" ht="24" hidden="0" customHeight="1">
      <x:c r="A2" s="18" t="str">
        <x:v>Propósito</x:v>
      </x:c>
      <x:c r="B2" s="20" t="str">
        <x:v>Handoff QA manual para escenarios de pagos, facturas, crédito y deuda trazados desde las pruebas unitarias y el código fuente actual.</x:v>
      </x:c>
    </x:row>
    <x:row r="3" ht="15" hidden="0" customHeight="1">
      <x:c r="A3" s="18" t="str">
        <x:v>Entregable principal</x:v>
      </x:c>
      <x:c r="B3" s="20" t="str">
        <x:v>Importar este XLSX en Google Sheets. Crear una hoja nativa requeriría instalar el plugin Google Drive.</x:v>
      </x:c>
    </x:row>
    <x:row r="4" ht="24" hidden="0" customHeight="1">
      <x:c r="A4" s="18" t="str">
        <x:v>Orden recomendado</x:v>
      </x:c>
      <x:c r="B4" s="20" t="str">
        <x:v>Ejecutar setup y luego casos P0 primero: PAY, CRED, INV, CAN, REP. Completar P1/P2 después de validar flujos financieros base.</x:v>
      </x:c>
    </x:row>
    <x:row r="5" ht="15" hidden="0" customHeight="1">
      <x:c r="A5" s="18" t="str">
        <x:v>Ambiente de ejecución</x:v>
      </x:c>
      <x:c r="B5" s="20" t="str">
        <x:v>Usar base de datos o tenant QA desechable. Muchos casos mutan saldos, deudas, pagos, facturas y estado de cancelación.</x:v>
      </x:c>
    </x:row>
    <x:row r="6" ht="15" hidden="0" customHeight="1">
      <x:c r="A6" s="18" t="str">
        <x:v>Registro de evidencia</x:v>
      </x:c>
      <x:c r="B6" s="20" t="str">
        <x:v>Para cada caso, llenar Estado, Responsable, Fecha probada, Resultado real, Liga defecto y Notas en Casos Manuales.</x:v>
      </x:c>
    </x:row>
    <x:row r="7" ht="15" hidden="0" customHeight="1">
      <x:c r="A7" s="18" t="str">
        <x:v>Enfoque de auditoría</x:v>
      </x:c>
      <x:c r="B7" s="20" t="str">
        <x:v>Registrar siempre ID de cliente, orden, pago, factura, BalanceTransaction y CreditTransaction cuando existan.</x:v>
      </x:c>
    </x:row>
    <x:row r="8" ht="15" hidden="0" customHeight="1">
      <x:c r="A8" s="18" t="str">
        <x:v>Trazabilidad</x:v>
      </x:c>
      <x:c r="B8" s="20" t="str">
        <x:v>Usar la pestaña Mapa de Fuentes para mapear cada caso manual contra pruebas automatizadas y código de servicio.</x:v>
      </x:c>
    </x:row>
    <x:row r="9" ht="24" hidden="0" customHeight="1">
      <x:c r="A9" s="21" t="str">
        <x:v>Terminología</x:v>
      </x:c>
      <x:c r="B9" s="23" t="str">
        <x:v>Saldo = balance prepago. Deuda/current_debt = monto adeudado. Payment pending_credit = marcador de crédito, no dinero pagado.</x:v>
      </x:c>
    </x:row>
  </x:sheetData>
  <x:pageMargins left="0.7" right="0.7" top="0.75" bottom="0.75" header="0.3" footer="0.3"/>
  <x:tableParts count="1">
    <x:tablePart xmlns:r="http://schemas.openxmlformats.org/officeDocument/2006/relationships" r:id="R1a1237ed5b78464b"/>
  </x:tableParts>
</x:worksheet>
</file>