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4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Resumen" sheetId="1" state="visible" r:id="rId3"/>
    <sheet name="Casos Manuales" sheetId="2" state="visible" r:id="rId4"/>
    <sheet name="Datos de Prueba" sheetId="3" state="visible" r:id="rId5"/>
    <sheet name="Escenario-Codigo" sheetId="4" state="visible" r:id="rId6"/>
    <sheet name="Guía de Ejecución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<sst xmlns="http://schemas.openxmlformats.org/spreadsheetml/2006/main" count="874" uniqueCount="668">
  <si>
    <t xml:space="preserve">Handoff QA Manual: Pagos, Facturas, Crédito y Deuda</t>
  </si>
  <si>
    <t xml:space="preserve">Generado el 2026-07-22 desde pruebas unitarias y código de servicios. Total de casos manuales: 61.</t>
  </si>
  <si>
    <t xml:space="preserve">Área</t>
  </si>
  <si>
    <t xml:space="preserve">Total</t>
  </si>
  <si>
    <t xml:space="preserve">P0</t>
  </si>
  <si>
    <t xml:space="preserve">P1</t>
  </si>
  <si>
    <t xml:space="preserve">P2</t>
  </si>
  <si>
    <t xml:space="preserve">Sin iniciar</t>
  </si>
  <si>
    <t xml:space="preserve">Aprobado</t>
  </si>
  <si>
    <t xml:space="preserve">Fallido</t>
  </si>
  <si>
    <t xml:space="preserve">Resumen ejecución</t>
  </si>
  <si>
    <t xml:space="preserve">Conteo</t>
  </si>
  <si>
    <t xml:space="preserve">Pagos</t>
  </si>
  <si>
    <t xml:space="preserve">Total general</t>
  </si>
  <si>
    <t xml:space="preserve">Balance</t>
  </si>
  <si>
    <t xml:space="preserve">Conteo P0</t>
  </si>
  <si>
    <t xml:space="preserve">Deuda</t>
  </si>
  <si>
    <t xml:space="preserve">Aprobados</t>
  </si>
  <si>
    <t xml:space="preserve">Órdenes a crédito</t>
  </si>
  <si>
    <t xml:space="preserve">Fallidos</t>
  </si>
  <si>
    <t xml:space="preserve">Config crédito</t>
  </si>
  <si>
    <t xml:space="preserve">Bloqueados</t>
  </si>
  <si>
    <t xml:space="preserve">Facturas</t>
  </si>
  <si>
    <t xml:space="preserve">Cancelaciones</t>
  </si>
  <si>
    <t xml:space="preserve">Reportes</t>
  </si>
  <si>
    <t xml:space="preserve">Guía QA</t>
  </si>
  <si>
    <t xml:space="preserve">1</t>
  </si>
  <si>
    <t xml:space="preserve">Ejecutar primero casos P0. Cubren movimientos de dinero, creación de factura, registro/liquidación de crédito y reversas de cancelación.</t>
  </si>
  <si>
    <t xml:space="preserve">2</t>
  </si>
  <si>
    <t xml:space="preserve">Usar tenant/base QA desechable. Los casos mutan saldos, deudas, facturas, pagos y estados de órdenes.</t>
  </si>
  <si>
    <t xml:space="preserve">3</t>
  </si>
  <si>
    <t xml:space="preserve">Registrar IDs de objetos y valores financieros antes/después en la hoja Casos Manuales.</t>
  </si>
  <si>
    <t xml:space="preserve">4</t>
  </si>
  <si>
    <t xml:space="preserve">Importar este XLSX en Google Sheets si se necesita una hoja compartida nativa.</t>
  </si>
  <si>
    <t xml:space="preserve">5</t>
  </si>
  <si>
    <t xml:space="preserve">Crear una Google Sheet nativa requiere el plugin Google Drive, que no está instalado en esta sesión de Codex.</t>
  </si>
  <si>
    <t xml:space="preserve">6</t>
  </si>
  <si>
    <t xml:space="preserve">Mapa de Fuentes contiene referencias de código y pruebas para auditoría.</t>
  </si>
  <si>
    <t xml:space="preserve">ID Caso</t>
  </si>
  <si>
    <t xml:space="preserve">Prioridad</t>
  </si>
  <si>
    <t xml:space="preserve">Escenario</t>
  </si>
  <si>
    <t xml:space="preserve">Precondiciones / Datos</t>
  </si>
  <si>
    <t xml:space="preserve">Pasos manuales</t>
  </si>
  <si>
    <t xml:space="preserve">Resultados esperados</t>
  </si>
  <si>
    <t xml:space="preserve">Post-checks / Evidencia</t>
  </si>
  <si>
    <t xml:space="preserve">Pruebas fuente</t>
  </si>
  <si>
    <t xml:space="preserve">Código fuente</t>
  </si>
  <si>
    <t xml:space="preserve">Notas QA</t>
  </si>
  <si>
    <t xml:space="preserve">Estado</t>
  </si>
  <si>
    <t xml:space="preserve">Responsable</t>
  </si>
  <si>
    <t xml:space="preserve">Fecha probada</t>
  </si>
  <si>
    <t xml:space="preserve">Resultado real</t>
  </si>
  <si>
    <t xml:space="preserve">Liga defecto</t>
  </si>
  <si>
    <t xml:space="preserve">Notas de ejecución</t>
  </si>
  <si>
    <t xml:space="preserve">PAY-001</t>
  </si>
  <si>
    <t xml:space="preserve">Orden de contado pagada totalmente en efectivo</t>
  </si>
  <si>
    <t xml:space="preserve">El cliente tiene una orden de contado pendiente con total_amount = 100.00 y sin pagos existentes.</t>
  </si>
  <si>
    <t xml:space="preserve">1. Abrir la pantalla de pago de la orden.
2. Usar monto 100.00 y método de pago Efectivo/cash.
3. Enviar el pago.
4. Abrir la orden y el historial de pagos del cliente.</t>
  </si>
  <si>
    <t xml:space="preserve">- La respuesta o la UI indica éxito.
- Existe un Payment completado por 100.00 con método cash.
- La orden queda pagada según total_paid y no se genera movimiento de saldo ni deuda.</t>
  </si>
  <si>
    <t xml:space="preserve">Revisar Payment admin/lista, total_paid de la orden e historial de pagos del cliente.</t>
  </si>
  <si>
    <t xml:space="preserve">payment/tests.py:76, payment/tests.py:118</t>
  </si>
  <si>
    <t xml:space="preserve">payment/services.py:285, payment/services.py:68, orders/views.py:113</t>
  </si>
  <si>
    <t xml:space="preserve">PAY-002</t>
  </si>
  <si>
    <t xml:space="preserve">Pago dividido usa saldo del cliente más otro método</t>
  </si>
  <si>
    <t xml:space="preserve">Saldo del cliente = 30.00. Orden de contado con total_amount = 50.00.</t>
  </si>
  <si>
    <t xml:space="preserve">1. Abrir la pantalla de checkout/crear orden.
2. Confirmar que el desglose muestra 30.00 de saldo y 20.00 restante.
3. Elegir efectivo o transferencia para el monto restante.
4. Completar el pago.</t>
  </si>
  <si>
    <t xml:space="preserve">- Se crean dos pagos: balance 30.00 y el método seleccionado 20.00.
- El saldo del cliente baja a 0.00.
- Existe BalanceTransaction con transaction_type payment por 30.00.
- La orden queda en estado COMPLETED.</t>
  </si>
  <si>
    <t xml:space="preserve">El historial del cliente debe mostrar la deducción de saldo y el pago externo.</t>
  </si>
  <si>
    <t xml:space="preserve">payment/tests.py:56, orders/tests.py:1443</t>
  </si>
  <si>
    <t xml:space="preserve">payment/services.py:216, payment/services.py:68, orders/static/orders/js/create_order.js:1075</t>
  </si>
  <si>
    <t xml:space="preserve">PAY-003</t>
  </si>
  <si>
    <t xml:space="preserve">Se rechaza pago dividido cuando la suma no coincide con el total</t>
  </si>
  <si>
    <t xml:space="preserve">Orden de contado con total_amount = 100.00.</t>
  </si>
  <si>
    <t xml:space="preserve">1. Enviar un payload de pago dividido o selección en UI cuyos montos sumen 90.00.
2. Intentar completar la orden.</t>
  </si>
  <si>
    <t xml:space="preserve">- El pago se rechaza con mensaje de que la suma de pagos debe ser igual al total de la orden.
- No se crean pagos nuevos.
- El estado de la orden no cambia a COMPLETED por este envío.</t>
  </si>
  <si>
    <t xml:space="preserve">Comparar el conteo de pagos de la orden antes y después.</t>
  </si>
  <si>
    <t xml:space="preserve">payment/tests.py:56, payment/tests.py:272</t>
  </si>
  <si>
    <t xml:space="preserve">payment/services.py:216</t>
  </si>
  <si>
    <t xml:space="preserve">PAY-004</t>
  </si>
  <si>
    <t xml:space="preserve">Pago con saldo insuficiente es rechazado</t>
  </si>
  <si>
    <t xml:space="preserve">Saldo del cliente = 30.00. Total de la orden o monto de pago = 50.00.</t>
  </si>
  <si>
    <t xml:space="preserve">1. Intentar pagar 50.00 usando Saldo/balance.
2. Enviar el pago.</t>
  </si>
  <si>
    <t xml:space="preserve">- El pago se rechaza con mensaje de saldo insuficiente.
- No se crea Payment completado con método balance.
- El saldo del cliente permanece en 30.00.</t>
  </si>
  <si>
    <t xml:space="preserve">Revisar saldo del cliente y lista de BalanceTransaction.</t>
  </si>
  <si>
    <t xml:space="preserve">orders/tests.py:1317, tests/test_balance_credit_integration.py:190</t>
  </si>
  <si>
    <t xml:space="preserve">payment/services.py:68, payment/models.py:69, clients/services/balance_service.py:120</t>
  </si>
  <si>
    <t xml:space="preserve">PAY-005</t>
  </si>
  <si>
    <t xml:space="preserve">Cantidad cobrada mayor al total agrega excedente al saldo del cliente</t>
  </si>
  <si>
    <t xml:space="preserve">Orden de contado con total_amount = 100.00. Conocer el saldo inicial del cliente.</t>
  </si>
  <si>
    <t xml:space="preserve">1. Completar checkout con cantidad_cobrada = 120.00.
2. Usar un método de pago válido para el total de la orden.
3. Abrir el detalle del cliente después del pago.</t>
  </si>
  <si>
    <t xml:space="preserve">- El pago se procesa correctamente.
- La orden guarda cantidad_cobrada = 120.00.
- El saldo del cliente aumenta en 20.00.
- BalanceTransaction tiene transaction_type added_in_order y referencia la orden.</t>
  </si>
  <si>
    <t xml:space="preserve">Verificar que la respuesta muestre balance_added/new_client_balance cuando aplique.</t>
  </si>
  <si>
    <t xml:space="preserve">payment/tests.py:43</t>
  </si>
  <si>
    <t xml:space="preserve">payment/services.py:337, clients/services/balance_service.py:59</t>
  </si>
  <si>
    <t xml:space="preserve">PAY-006</t>
  </si>
  <si>
    <t xml:space="preserve">Cantidad cobrada menor al total de la orden es rechazada</t>
  </si>
  <si>
    <t xml:space="preserve">Orden con total_amount = 100.00.</t>
  </si>
  <si>
    <t xml:space="preserve">1. Intentar checkout con cantidad_cobrada = 99.99.
2. Enviar el pago.</t>
  </si>
  <si>
    <t xml:space="preserve">- El envío es rechazado.
- El error indica que la cantidad cobrada no puede ser menor al total de la orden.
- No se agrega saldo y no debe registrarse pago exitoso por este envío.</t>
  </si>
  <si>
    <t xml:space="preserve">Comparar pagos y saldo antes/después.</t>
  </si>
  <si>
    <t xml:space="preserve">payment/tests.py:35</t>
  </si>
  <si>
    <t xml:space="preserve">payment/services.py:33, payment/services.py:337</t>
  </si>
  <si>
    <t xml:space="preserve">PAY-007</t>
  </si>
  <si>
    <t xml:space="preserve">Método de pago inválido en liquidación es rechazado</t>
  </si>
  <si>
    <t xml:space="preserve">Existe una orden y el usuario inició sesión.</t>
  </si>
  <si>
    <t xml:space="preserve">1. Enviar una solicitud de pago con un método fuera del conjunto permitido.
2. Observar la respuesta.</t>
  </si>
  <si>
    <t xml:space="preserve">- El pago se rechaza con 'Método de pago inválido para este flujo'.
- No se persiste ningún Payment.</t>
  </si>
  <si>
    <t xml:space="preserve">Revisar el conteo de pagos de la orden.</t>
  </si>
  <si>
    <t xml:space="preserve">payment/tests.py:153</t>
  </si>
  <si>
    <t xml:space="preserve">payment/services.py:12, payment/services.py:68</t>
  </si>
  <si>
    <t xml:space="preserve">PAY-008</t>
  </si>
  <si>
    <t xml:space="preserve">Las notas de checkout se guardan en la orden</t>
  </si>
  <si>
    <t xml:space="preserve">Existe una orden pendiente.</t>
  </si>
  <si>
    <t xml:space="preserve">1. Capturar una nota durante checkout/pago.
2. Completar o enviar la solicitud de pago.
3. Reabrir la orden.</t>
  </si>
  <si>
    <t xml:space="preserve">- Las notas de la orden se guardan sin espacios sobrantes.
- Las notas en blanco se guardan como vacío/null.</t>
  </si>
  <si>
    <t xml:space="preserve">Revisar el campo en detalle o admin de la orden.</t>
  </si>
  <si>
    <t xml:space="preserve">orders/tests.py:333, orders/tests.py:347</t>
  </si>
  <si>
    <t xml:space="preserve">payment/services.py:33, orders/views.py:463</t>
  </si>
  <si>
    <t xml:space="preserve">PAY-009</t>
  </si>
  <si>
    <t xml:space="preserve">El marcador pending_credit completado no cuenta como dinero pagado</t>
  </si>
  <si>
    <t xml:space="preserve">La orden a crédito solo tiene un Payment pending_credit cambiado a completado y no tiene pago cash/balance.</t>
  </si>
  <si>
    <t xml:space="preserve">1. Abrir la orden o los totales de factura/pago.
2. Comparar total_paid contra total_amount.</t>
  </si>
  <si>
    <t xml:space="preserve">- El total_paid de la orden es 0.00 para el marcador pending_credit.
- La orden sigue apareciendo como no pagada hasta que exista un pago completado distinto de pending_credit.</t>
  </si>
  <si>
    <t xml:space="preserve">Revisar filtros de órdenes no pagadas y total_payments de factura.</t>
  </si>
  <si>
    <t xml:space="preserve">payment/tests.py:284</t>
  </si>
  <si>
    <t xml:space="preserve">invoice/models.py:47, invoice/models.py:136, payment/models.py:49</t>
  </si>
  <si>
    <t xml:space="preserve">BAL-001</t>
  </si>
  <si>
    <t xml:space="preserve">Depósito manual de saldo actualiza saldo y auditoría</t>
  </si>
  <si>
    <t xml:space="preserve">Existe un cliente activo. Usuario QA con sesión iniciada.</t>
  </si>
  <si>
    <t xml:space="preserve">1. Abrir Agregar/Gestionar saldo del cliente.
2. Seleccionar tipo de transacción Depósito.
3. Capturar monto 200.00 y notas detalladas de al menos 10 caracteres.
4. Enviar y abrir el historial de pagos del cliente.</t>
  </si>
  <si>
    <t xml:space="preserve">- El saldo del cliente aumenta en 200.00.
- Se crea BalanceTransaction con saldos antes/después, created_by y notas.
- El mensaje de éxito muestra el saldo actualizado.</t>
  </si>
  <si>
    <t xml:space="preserve">Verificar en admin/historial de BalanceTransaction.</t>
  </si>
  <si>
    <t xml:space="preserve">tests/test_balance_credit_history.py:1</t>
  </si>
  <si>
    <t xml:space="preserve">clients/views.py:942, clients/forms.py:12, clients/services/balance_service.py:59</t>
  </si>
  <si>
    <t xml:space="preserve">BAL-002</t>
  </si>
  <si>
    <t xml:space="preserve">Depósito manual exige monto positivo y notas significativas</t>
  </si>
  <si>
    <t xml:space="preserve">Existe un cliente activo.</t>
  </si>
  <si>
    <t xml:space="preserve">1. Abrir Agregar saldo.
2. Intentar monto 0.00 o notas menores a 10 caracteres.
3. Enviar.</t>
  </si>
  <si>
    <t xml:space="preserve">- La validación del formulario bloquea el envío.
- No se crea BalanceTransaction.
- El saldo del cliente no cambia.</t>
  </si>
  <si>
    <t xml:space="preserve">Confirmar mensajes de validación y ausencia de nueva transacción.</t>
  </si>
  <si>
    <t xml:space="preserve">clients/forms.py:12, clients/services/balance_service.py:59</t>
  </si>
  <si>
    <t xml:space="preserve">DEBT-001</t>
  </si>
  <si>
    <t xml:space="preserve">Pago manual de deuda reduce current_debt</t>
  </si>
  <si>
    <t xml:space="preserve">Cliente con current_debt = 300.00 y credit_limit configurado.</t>
  </si>
  <si>
    <t xml:space="preserve">1. Abrir Gestionar crédito/pay-credit del cliente.
2. Seleccionar Pago de deuda.
3. Capturar monto 100.00, descripción y notas detalladas.
4. Enviar y abrir el detalle del cliente.</t>
  </si>
  <si>
    <t xml:space="preserve">- El current_debt del cliente baja a 200.00.
- Se crea CreditTransaction transaction_type payment con debt_before 300.00 y debt_after 200.00.
- El crédito disponible aumenta en 100.00.</t>
  </si>
  <si>
    <t xml:space="preserve">Verificar CreditTransaction y totales del reporte global de crédito.</t>
  </si>
  <si>
    <t xml:space="preserve">clients/views.py:854, clients/forms.py:64, clients/services/balance_service.py:261</t>
  </si>
  <si>
    <t xml:space="preserve">DEBT-002</t>
  </si>
  <si>
    <t xml:space="preserve">Pagar deuda con saldo actualiza ambos libros</t>
  </si>
  <si>
    <t xml:space="preserve">Cliente con balance = 150.00 y current_debt = 200.00.</t>
  </si>
  <si>
    <t xml:space="preserve">1. Abrir Gestionar crédito/pay-credit.
2. Seleccionar Pago con Saldo.
3. Capturar monto 100.00 con descripción y notas válidas.
4. Enviar.</t>
  </si>
  <si>
    <t xml:space="preserve">- El saldo del cliente baja a 50.00.
- El current_debt baja a 100.00.
- Se crea BalanceTransaction transaction_type payment.
- Se crea CreditTransaction transaction_type payment_from_balance.</t>
  </si>
  <si>
    <t xml:space="preserve">Revisar ambas secciones de historial en el detalle del cliente.</t>
  </si>
  <si>
    <t xml:space="preserve">clients/views.py:854, clients/forms.py:64, clients/services/balance_service.py:488</t>
  </si>
  <si>
    <t xml:space="preserve">DEBT-003</t>
  </si>
  <si>
    <t xml:space="preserve">Pago de deuda con saldo rechaza saldo insuficiente</t>
  </si>
  <si>
    <t xml:space="preserve">Cliente con balance = 50.00 y current_debt = 200.00.</t>
  </si>
  <si>
    <t xml:space="preserve">1. Abrir Gestionar crédito/pay-credit.
2. Seleccionar Pago con Saldo.
3. Capturar monto 100.00.
4. Enviar.</t>
  </si>
  <si>
    <t xml:space="preserve">- Formulario o servicio bloquea el envío con Saldo insuficiente.
- El saldo y la deuda del cliente no cambian.
- No se crean transacciones emparejadas.</t>
  </si>
  <si>
    <t xml:space="preserve">Revisar conteos de BalanceTransaction y CreditTransaction.</t>
  </si>
  <si>
    <t xml:space="preserve">clients/forms.py:64, clients/services/balance_service.py:488</t>
  </si>
  <si>
    <t xml:space="preserve">DEBT-004</t>
  </si>
  <si>
    <t xml:space="preserve">Pago de deuda no puede exceder la deuda actual</t>
  </si>
  <si>
    <t xml:space="preserve">Cliente con current_debt = 80.00.</t>
  </si>
  <si>
    <t xml:space="preserve">1. Abrir Gestionar crédito/pay-credit.
2. Seleccionar Pago de deuda o Condonación de deuda.
3. Capturar monto 100.00 y enviar.</t>
  </si>
  <si>
    <t xml:space="preserve">- La validación bloquea el envío porque el monto excede la deuda actual.
- La deuda permanece en 80.00.</t>
  </si>
  <si>
    <t xml:space="preserve">Confirmar error a nivel de campo monto.</t>
  </si>
  <si>
    <t xml:space="preserve">clients/forms.py:64</t>
  </si>
  <si>
    <t xml:space="preserve">DEBT-005</t>
  </si>
  <si>
    <t xml:space="preserve">Cambio de límite de crédito crea transacción de auditoría</t>
  </si>
  <si>
    <t xml:space="preserve">Cliente con credit_limit = 500.00 y current_debt = 100.00.</t>
  </si>
  <si>
    <t xml:space="preserve">1. Abrir Gestionar crédito/pay-credit.
2. Seleccionar Cambio de límite de crédito.
3. Capturar nuevo límite 800.00 y notas válidas.
4. Enviar.</t>
  </si>
  <si>
    <t xml:space="preserve">- El credit_limit del cliente cambia a 800.00.
- Se crea CreditTransaction transaction_type limit_change.
- CreditTransaction registra credit_limit_before 500.00 y credit_limit_after 800.00.</t>
  </si>
  <si>
    <t xml:space="preserve">Revisar panel de crédito del cliente y crédito disponible en el reporte.</t>
  </si>
  <si>
    <t xml:space="preserve">clients/views.py:854, clients/services/balance_service.py:431</t>
  </si>
  <si>
    <t xml:space="preserve">CRED-001</t>
  </si>
  <si>
    <t xml:space="preserve">Registrar orden a crédito sin saldo</t>
  </si>
  <si>
    <t xml:space="preserve">Cliente con balance = 0.00, credit_limit = 500.00, current_debt = 0.00, can_pay_with_credit = true. Orden tipo credito, total 100.00.</t>
  </si>
  <si>
    <t xml:space="preserve">1. Abrir checkout de la orden.
2. Seleccionar tipo de orden credito.
3. Finalizar la orden sin elegir método de pago en efectivo.
4. Abrir detalle del cliente y pagos de la orden.</t>
  </si>
  <si>
    <t xml:space="preserve">- La orden queda en estado COMPLETED.
- Existe marcador Payment con method pending_credit, status pending, amount 100.00.
- El current_debt del cliente aumenta a 100.00.
- Existe CreditTransaction purchase referenciando la orden/pago.</t>
  </si>
  <si>
    <t xml:space="preserve">Confirmar que el crédito disponible baja a 400.00.</t>
  </si>
  <si>
    <t xml:space="preserve">payment/tests.py:92, payment/tests.py:344</t>
  </si>
  <si>
    <t xml:space="preserve">payment/services.py:403, payment/services.py:423, clients/services/balance_service.py:184</t>
  </si>
  <si>
    <t xml:space="preserve">CRED-002</t>
  </si>
  <si>
    <t xml:space="preserve">Orden a crédito usa primero el saldo y acredita solo el restante</t>
  </si>
  <si>
    <t xml:space="preserve">Cliente con balance = 30.00, credit_limit = 100.00, current_debt = 0.00. Orden a crédito total = 50.00.</t>
  </si>
  <si>
    <t xml:space="preserve">1. Crear una orden a crédito por 50.00.
2. Finalizar/registrar la orden a crédito.
3. Abrir pagos y libros.</t>
  </si>
  <si>
    <t xml:space="preserve">- Se crea pago balance de 30.00 y queda completado.
- Se crea marcador pending_credit por 20.00.
- El saldo del cliente queda en 0.00.
- El current_debt del cliente queda en 20.00.</t>
  </si>
  <si>
    <t xml:space="preserve">Revisar referencias en transacciones de saldo y crédito.</t>
  </si>
  <si>
    <t xml:space="preserve">orders/tests.py:1443, payment/tests.py:396</t>
  </si>
  <si>
    <t xml:space="preserve">payment/services.py:423, payment/services.py:68, clients/services/balance_service.py:184</t>
  </si>
  <si>
    <t xml:space="preserve">CRED-003</t>
  </si>
  <si>
    <t xml:space="preserve">Orden a crédito cubierta totalmente con saldo no crea deuda</t>
  </si>
  <si>
    <t xml:space="preserve">Cliente con balance = 150.00 y orden a crédito total = 100.00.</t>
  </si>
  <si>
    <t xml:space="preserve">1. Crear y finalizar una orden tipo credito.
2. Abrir pagos de la orden y detalle del cliente.</t>
  </si>
  <si>
    <t xml:space="preserve">- La orden se completa solo con pago balance.
- No queda marcador pending_credit pendiente.
- El current_debt del cliente no cambia.
- La respuesta/mensaje indica que la orden fue pagada completamente con saldo disponible.</t>
  </si>
  <si>
    <t xml:space="preserve">Confirmar que no exista CreditTransaction purchase para esta orden.</t>
  </si>
  <si>
    <t xml:space="preserve">orders/tests.py:1423</t>
  </si>
  <si>
    <t xml:space="preserve">payment/services.py:423</t>
  </si>
  <si>
    <t xml:space="preserve">CRED-004</t>
  </si>
  <si>
    <t xml:space="preserve">Paro de emergencia de crédito bloquea nueva venta a crédito</t>
  </si>
  <si>
    <t xml:space="preserve">Cliente con balance = 30.00, credit_limit = 200.00, current_debt = 0.00, can_pay_with_credit = false. Orden a crédito total = 100.00.</t>
  </si>
  <si>
    <t xml:space="preserve">1. Crear una orden a crédito por 100.00.
2. Intentar finalizar/registrar como credito.</t>
  </si>
  <si>
    <t xml:space="preserve">- La solicitud se rechaza con Cliente no puede pagar con credito.
- El saldo del cliente permanece en 30.00.
- El current_debt permanece en 0.00.
- No se crea Payment ni CreditTransaction.</t>
  </si>
  <si>
    <t xml:space="preserve">Debe bloquear aunque el límite numérico de crédito esté disponible.</t>
  </si>
  <si>
    <t xml:space="preserve">payment/tests.py:316, clients/tests_credit_management.py:459</t>
  </si>
  <si>
    <t xml:space="preserve">clients/models.py:199, clients/services/balance_service.py:184, payment/services.py:423</t>
  </si>
  <si>
    <t xml:space="preserve">CRED-005</t>
  </si>
  <si>
    <t xml:space="preserve">Venta a crédito no puede exceder el límite duro después de aplicar saldo</t>
  </si>
  <si>
    <t xml:space="preserve">Cliente con balance = 10.00, credit_limit = 100.00, current_debt = 80.00. Orden a crédito total = 50.00.</t>
  </si>
  <si>
    <t xml:space="preserve">1. Intentar registrar la orden como credito.
2. Observar error y estado financiero.</t>
  </si>
  <si>
    <t xml:space="preserve">- La solicitud se rechaza porque la venta excede el límite de crédito.
- El saldo permanece en 10.00 y current_debt en 80.00.
- No se crean marcadores de pago.</t>
  </si>
  <si>
    <t xml:space="preserve">Revisar el crédito disponible mostrado al usuario.</t>
  </si>
  <si>
    <t xml:space="preserve">payment/tests.py:396, clients/tests_credit_management.py:478</t>
  </si>
  <si>
    <t xml:space="preserve">clients/services/balance_service.py:184, payment/services.py:423</t>
  </si>
  <si>
    <t xml:space="preserve">CRED-006</t>
  </si>
  <si>
    <t xml:space="preserve">Crédito vencido se reporta pero no bloquea nueva venta si hay límite</t>
  </si>
  <si>
    <t xml:space="preserve">Cliente con compra a crédito vencida por 100.00, credit_limit = 500.00, current_debt = 100.00, can_pay_with_credit = true.</t>
  </si>
  <si>
    <t xml:space="preserve">1. Confirmar que detalle/reporte del cliente muestra crédito vencido.
2. Crear una nueva orden a crédito por 50.00.
3. Registrarla como credito.</t>
  </si>
  <si>
    <t xml:space="preserve">- La nueva orden a crédito se procesa correctamente.
- El current_debt del cliente queda en 150.00.
- Existe nuevo marcador pending_credit por 50.00.
- El vencimiento sigue visible para la orden anterior.</t>
  </si>
  <si>
    <t xml:space="preserve">Revisar sección de vencidos en detalle del cliente y reporte global de crédito.</t>
  </si>
  <si>
    <t xml:space="preserve">payment/tests.py:344, clients/tests_credit_management.py:497</t>
  </si>
  <si>
    <t xml:space="preserve">clients/services/pending_payment_service.py:94, payment/services.py:423</t>
  </si>
  <si>
    <t xml:space="preserve">CRED-007</t>
  </si>
  <si>
    <t xml:space="preserve">Registro de orden a crédito es idempotente si ya existe marcador pendiente</t>
  </si>
  <si>
    <t xml:space="preserve">La orden a crédito ya tiene un marcador Payment pending_credit.</t>
  </si>
  <si>
    <t xml:space="preserve">1. Enviar/registrar nuevamente la misma orden a crédito.
2. Revisar pagos y deuda.</t>
  </si>
  <si>
    <t xml:space="preserve">- La respuesta indica que la orden ya tiene un registro pendiente de liquidación.
- No se crea un pending_credit duplicado.
- La deuda no aumenta por segunda vez.</t>
  </si>
  <si>
    <t xml:space="preserve">Comparar conteos de Payment y CreditTransaction antes y después.</t>
  </si>
  <si>
    <t xml:space="preserve">payment/tests.py:92</t>
  </si>
  <si>
    <t xml:space="preserve">CRED-008</t>
  </si>
  <si>
    <t xml:space="preserve">Liquidar orden con crédito pendiente usando monto exacto</t>
  </si>
  <si>
    <t xml:space="preserve">Orden a crédito con pending_credit amount 1000.00. Cliente current_debt = 1000.00.</t>
  </si>
  <si>
    <t xml:space="preserve">1. Abrir la pantalla de pago de la orden a crédito.
2. Enviar monto 1000.00 con efectivo o transferencia.
3. Abrir detalle del cliente y pagos de la orden.</t>
  </si>
  <si>
    <t xml:space="preserve">- Se crea un pago de liquidación completado.
- El current_debt del cliente queda en 0.00.
- El crédito disponible se restaura.
- El marcador pending_credit cambia a status completed.
- CreditTransaction payment referencia la orden y el pago de liquidación.</t>
  </si>
  <si>
    <t xml:space="preserve">La orden debe aparecer pagada porque un pago completado distinto de pending_credit la cubre.</t>
  </si>
  <si>
    <t xml:space="preserve">payment/tests.py:205, payment/tests.py:294</t>
  </si>
  <si>
    <t xml:space="preserve">payment/services.py:108, orders/views.py:113, clients/services/balance_service.py:261</t>
  </si>
  <si>
    <t xml:space="preserve">CRED-009</t>
  </si>
  <si>
    <t xml:space="preserve">Liquidación de crédito pendiente con monto incorrecto es rechazada</t>
  </si>
  <si>
    <t xml:space="preserve">Orden a crédito con pending_credit amount = 1000.00.</t>
  </si>
  <si>
    <t xml:space="preserve">1. Abrir pantalla de pago de la orden a crédito.
2. Enviar monto 900.00.</t>
  </si>
  <si>
    <t xml:space="preserve">- El pago se rechaza con mensaje de que debe cubrir el saldo pendiente.
- No se crea nuevo pago cash/bank.
- pending_credit permanece pending.
- La deuda no cambia.</t>
  </si>
  <si>
    <t xml:space="preserve">Verificar conteo de pagos de la orden y deuda del cliente.</t>
  </si>
  <si>
    <t xml:space="preserve">payment/tests.py:272</t>
  </si>
  <si>
    <t xml:space="preserve">payment/services.py:108</t>
  </si>
  <si>
    <t xml:space="preserve">CRED-010</t>
  </si>
  <si>
    <t xml:space="preserve">Pago de liquidación existente y coincidente se reconcilia sin duplicar</t>
  </si>
  <si>
    <t xml:space="preserve">Orden a crédito con pending_credit 1000.00 y un pago cash completado de 1000.00 que aún no redujo deuda.</t>
  </si>
  <si>
    <t xml:space="preserve">1. Ejecutar/enviar el flujo de liquidación por 1000.00.
2. Abrir pagos de la orden.</t>
  </si>
  <si>
    <t xml:space="preserve">- Se reutiliza el pago existente.
- No se crea pago cash duplicado.
- La deuda baja a 0.00.
- El marcador pending_credit queda completado.</t>
  </si>
  <si>
    <t xml:space="preserve">Revisar que solo exista un pago cash para la orden.</t>
  </si>
  <si>
    <t xml:space="preserve">payment/tests.py:222</t>
  </si>
  <si>
    <t xml:space="preserve">payment/services.py:108, payment/services.py:163</t>
  </si>
  <si>
    <t xml:space="preserve">CRED-011</t>
  </si>
  <si>
    <t xml:space="preserve">Pago de liquidación existente con monto distinto requiere revisión manual</t>
  </si>
  <si>
    <t xml:space="preserve">Orden a crédito con pending_credit = 1000.00 y pago cash completado existente = 900.00.</t>
  </si>
  <si>
    <t xml:space="preserve">1. Intentar liquidar la orden a crédito.
2. Observar respuesta/error.</t>
  </si>
  <si>
    <t xml:space="preserve">- El flujo levanta/devuelve error de revisión manual.
- La deuda del cliente no cambia.
- No se crea pago adicional.</t>
  </si>
  <si>
    <t xml:space="preserve">Escalar a ingeniería u operaciones financieras con IDs de orden/pago.</t>
  </si>
  <si>
    <t xml:space="preserve">payment/tests.py:249</t>
  </si>
  <si>
    <t xml:space="preserve">payment/services.py:163</t>
  </si>
  <si>
    <t xml:space="preserve">CRED-012</t>
  </si>
  <si>
    <t xml:space="preserve">Migración legacy de crédito en dry-run y apply</t>
  </si>
  <si>
    <t xml:space="preserve">Una orden legacy tiene type contado y un Payment completado con method credit.</t>
  </si>
  <si>
    <t xml:space="preserve">1. Ejecutar migrate_legacy_credit_orders sin --apply en un ambiente QA seguro.
2. Confirmar que no cambian registros.
3. Ejecutar de nuevo con --apply.
4. Inspeccionar orden y pago.</t>
  </si>
  <si>
    <t xml:space="preserve">- Dry run reporta que no escribe cambios.
- --apply cambia order.type a credito.
- El pago legacy cambia a method pending_credit y status pending.</t>
  </si>
  <si>
    <t xml:space="preserve">Ejecutar solo en una base QA desechable.</t>
  </si>
  <si>
    <t xml:space="preserve">payment/tests.py:431, payment/tests.py:457</t>
  </si>
  <si>
    <t xml:space="preserve">orders/management/commands/migrate_legacy_credit_orders.py:22</t>
  </si>
  <si>
    <t xml:space="preserve">CFG-001</t>
  </si>
  <si>
    <t xml:space="preserve">La semántica del checkbox de paro de emergencia de crédito se invierte correctamente</t>
  </si>
  <si>
    <t xml:space="preserve">Cliente con can_pay_with_credit = true y credit_limit = 500.00.</t>
  </si>
  <si>
    <t xml:space="preserve">1. Abrir editar cliente &gt; pestaña crédito.
2. Marcar el campo Cliente no puede pagar con crédito.
3. Guardar.
4. Abrir el cliente otra vez.</t>
  </si>
  <si>
    <t xml:space="preserve">- Cuando el checkbox está marcado, can_pay_with_credit se guarda como false.
- Cuando el checkbox está desmarcado, can_pay_with_credit se guarda como true.
- Los intentos de venta a crédito respetan el valor guardado.</t>
  </si>
  <si>
    <t xml:space="preserve">Ejecutar CRED-004 después de habilitar el paro de emergencia.</t>
  </si>
  <si>
    <t xml:space="preserve">clients/tests_credit_management.py:75, clients/tests_credit_management.py:95</t>
  </si>
  <si>
    <t xml:space="preserve">clients/forms.py:157, clients/models.py:199</t>
  </si>
  <si>
    <t xml:space="preserve">CFG-002</t>
  </si>
  <si>
    <t xml:space="preserve">Términos de crédito invoice_due requieren facturación recurrente</t>
  </si>
  <si>
    <t xml:space="preserve">Existe cliente corporativo con requires_billing false.</t>
  </si>
  <si>
    <t xml:space="preserve">1. Abrir configuración de crédito.
2. Seleccionar Vencimiento posterior a factura/invoice_due.
3. Intentar guardar sin habilitar facturación recurrente.
4. Después habilitar facturación recurrente y guardar invoice_due.
5. Intentar deshabilitar facturación recurrente mientras invoice_due sigue configurado.</t>
  </si>
  <si>
    <t xml:space="preserve">- invoice_due no se puede guardar a menos que requires_billing sea true.
- La facturación recurrente no se puede deshabilitar mientras los términos invoice_due estén activos.</t>
  </si>
  <si>
    <t xml:space="preserve">Verificar que el mensaje de validación mencione el requisito de facturación.</t>
  </si>
  <si>
    <t xml:space="preserve">clients/tests_credit_management.py:127, clients/tests_credit_management.py:143</t>
  </si>
  <si>
    <t xml:space="preserve">clients/models.py:141, clients/models.py:606, clients/views.py:262</t>
  </si>
  <si>
    <t xml:space="preserve">CFG-003</t>
  </si>
  <si>
    <t xml:space="preserve">Nueva sucursal copia política de crédito corporativa pero no saldos de libros</t>
  </si>
  <si>
    <t xml:space="preserve">Cliente corporativo con credit_limit 750.00, current_debt 320.00, balance 125.00, can_pay_with_credit false y cutoff_day 15.</t>
  </si>
  <si>
    <t xml:space="preserve">1. Crear una sucursal bajo ese corporativo.
2. Abrir detalle/editar sucursal &gt; pestaña crédito.</t>
  </si>
  <si>
    <t xml:space="preserve">- La sucursal tiene credit_limit 750.00.
- La sucursal tiene can_pay_with_credit false.
- La sucursal tiene current_debt 0.00 y balance 0.00.
- La configuración de crédito copia término de pago, día de corte y máximo de días de pago.</t>
  </si>
  <si>
    <t xml:space="preserve">Confirmar que credit_override_enabled de la sucursal inicia en false.</t>
  </si>
  <si>
    <t xml:space="preserve">clients/tests_credit_management.py:170</t>
  </si>
  <si>
    <t xml:space="preserve">clients/services/client_service.py:51, clients/views.py:216</t>
  </si>
  <si>
    <t xml:space="preserve">CFG-004</t>
  </si>
  <si>
    <t xml:space="preserve">Sucursal sin override de crédito tiene política de crédito de solo lectura</t>
  </si>
  <si>
    <t xml:space="preserve">La sucursal pertenece a un corporativo y credit_override_enabled es false.</t>
  </si>
  <si>
    <t xml:space="preserve">1. Abrir editar sucursal &gt; pestaña crédito.
2. Intentar cambiar credit_limit desde UI o endpoint PATCH.</t>
  </si>
  <si>
    <t xml:space="preserve">- La UI muestra configuración de crédito de solo lectura y apunta a la administración corporativa.
- La actualización PATCH/API se rechaza con 400.
- credit_limit y can_pay_with_credit de la sucursal permanecen sin cambios.</t>
  </si>
  <si>
    <t xml:space="preserve">Usar solo una sucursal con override deshabilitado.</t>
  </si>
  <si>
    <t xml:space="preserve">clients/tests_credit_management.py:301, clients/tests_credit_management.py:314, clients/tests_credit_management.py:383</t>
  </si>
  <si>
    <t xml:space="preserve">clients/views.py:121, clients/views.py:262, clients/services/client_service.py:89</t>
  </si>
  <si>
    <t xml:space="preserve">CFG-005</t>
  </si>
  <si>
    <t xml:space="preserve">Sucursal con override de crédito puede editar su política</t>
  </si>
  <si>
    <t xml:space="preserve">Sucursal con credit_override_enabled true.</t>
  </si>
  <si>
    <t xml:space="preserve">1. Abrir editar sucursal &gt; pestaña crédito.
2. Cambiar credit_limit a 500.00 y guardar.
3. Opcionalmente hacer PATCH de credit_limit/can_pay_with_credit.</t>
  </si>
  <si>
    <t xml:space="preserve">- La UI guarda la política de crédito específica de la sucursal.
- PATCH/API puede actualizar campos de crédito.
- La política corporativa no se modifica por el cambio en sucursal.</t>
  </si>
  <si>
    <t xml:space="preserve">Comparar valores de sucursal y corporativo.</t>
  </si>
  <si>
    <t xml:space="preserve">clients/tests_credit_management.py:331, clients/tests_credit_management.py:398</t>
  </si>
  <si>
    <t xml:space="preserve">clients/views.py:262, clients/services/client_service.py:89</t>
  </si>
  <si>
    <t xml:space="preserve">CFG-006</t>
  </si>
  <si>
    <t xml:space="preserve">Fechas de vencimiento con corte mensual manejan día de corte y fin de mes</t>
  </si>
  <si>
    <t xml:space="preserve">Configuración de crédito del cliente con payment_term_type monthly_cutoff.</t>
  </si>
  <si>
    <t xml:space="preserve">1. Configurar cutoff_day en 20 y crear venta a crédito con fecha 2026-06-21.
2. Revisar fecha de vencimiento.
3. Crear otra venta con fecha 2026-06-20.
4. Configurar cutoff_day last_day o 30 en febrero y revisar vencimiento.</t>
  </si>
  <si>
    <t xml:space="preserve">- La venta después del corte vence el 2026-07-20.
- La venta en el día de corte vence el 2026-06-20.
- last_day usa el último día real del mes.
- Un corte numérico mayor al fin de mes se ajusta al último día real.</t>
  </si>
  <si>
    <t xml:space="preserve">El detalle del cliente debe reflejar la fecha de vencimiento más cercana cuando haya crédito abierto.</t>
  </si>
  <si>
    <t xml:space="preserve">clients/tests_credit_terms.py:13, clients/tests_credit_terms.py:18, clients/tests_credit_terms.py:23, clients/tests_credit_terms.py:28</t>
  </si>
  <si>
    <t xml:space="preserve">clients/services/pending_payment_service.py:27, clients/services/pending_payment_service.py:40</t>
  </si>
  <si>
    <t xml:space="preserve">CFG-007</t>
  </si>
  <si>
    <t xml:space="preserve">Crédito invoice_due espera emisión de factura y luego suma días máximos</t>
  </si>
  <si>
    <t xml:space="preserve">Cliente usa invoice_due con max_payment_days = 30.</t>
  </si>
  <si>
    <t xml:space="preserve">1. Crear una orden a crédito sin factura.
2. Revisar fecha de vencimiento en reporte/detalle de crédito del cliente.
3. Crear o ligar factura con emitted_at 2026-06-10.
4. Revisar nuevamente la fecha de vencimiento.</t>
  </si>
  <si>
    <t xml:space="preserve">- La orden sin factura no tiene fecha de vencimiento y no está vencida.
- Después de emitir factura, la fecha de vencimiento es 2026-07-10.</t>
  </si>
  <si>
    <t xml:space="preserve">Usar la página detallada del reporte de crédito del cliente.</t>
  </si>
  <si>
    <t xml:space="preserve">clients/tests_credit_terms.py:33, clients/tests_credit_terms.py:46, clients/tests_credit_report_service.py:164</t>
  </si>
  <si>
    <t xml:space="preserve">clients/services/pending_payment_service.py:40, clients/services/credit_report_service.py:143</t>
  </si>
  <si>
    <t xml:space="preserve">INV-001</t>
  </si>
  <si>
    <t xml:space="preserve">Lista de órdenes facturables incluye solo órdenes completadas, sin factura y del mismo cliente</t>
  </si>
  <si>
    <t xml:space="preserve">Cliente A tiene órdenes completadas sin factura, órdenes pendientes y una orden ya facturada. Cliente B tiene órdenes completadas.</t>
  </si>
  <si>
    <t xml:space="preserve">1. Abrir flujo de crear/editar factura para Cliente A.
2. Abrir dropdown de órdenes o endpoint AJAX de órdenes facturables.</t>
  </si>
  <si>
    <t xml:space="preserve">- Aparecen las órdenes completadas sin factura de Cliente A.
- No aparecen órdenes de Cliente B.
- No aparecen órdenes pendientes.
- No aparecen órdenes ligadas a cualquier factura.</t>
  </si>
  <si>
    <t xml:space="preserve">Revisar respuesta del endpoint de órdenes facturables si hace falta.</t>
  </si>
  <si>
    <t xml:space="preserve">invoice/tests.py:38, invoice/tests.py:259, invoice/tests.py:274, invoice/tests.py:296</t>
  </si>
  <si>
    <t xml:space="preserve">invoice/services.py:352, invoice/views.py:15</t>
  </si>
  <si>
    <t xml:space="preserve">INV-002</t>
  </si>
  <si>
    <t xml:space="preserve">Editar liga existente de factura conserva la orden actualmente ligada</t>
  </si>
  <si>
    <t xml:space="preserve">La factura tiene un InvoiceOrderLink existente a una orden que normalmente sería excluida.</t>
  </si>
  <si>
    <t xml:space="preserve">1. Abrir pantalla de edición de factura.
2. Editar la fila de la orden ligada existente.
3. Revisar opciones del dropdown.</t>
  </si>
  <si>
    <t xml:space="preserve">- La orden actualmente ligada sigue seleccionable durante la edición.
- Otras órdenes ya ligadas permanecen excluidas.</t>
  </si>
  <si>
    <t xml:space="preserve">Esto protege ediciones admin para no perder la selección actual.</t>
  </si>
  <si>
    <t xml:space="preserve">invoice/tests.py:105, invoice/tests.py:309</t>
  </si>
  <si>
    <t xml:space="preserve">invoice/services.py:352, invoice/static/admin/js/billing_record_inline_orders.js:117</t>
  </si>
  <si>
    <t xml:space="preserve">INV-003</t>
  </si>
  <si>
    <t xml:space="preserve">Tope de monto en factura manual bloquea órdenes ligadas que exceden el monto facturado</t>
  </si>
  <si>
    <t xml:space="preserve">Factura manual con auto_amount false, amount 100.00. Orden ligada existente 80.00. Nueva orden 30.00.</t>
  </si>
  <si>
    <t xml:space="preserve">1. Abrir pantalla de edición de factura manual.
2. Intentar ligar la nueva orden de 30.00.</t>
  </si>
  <si>
    <t xml:space="preserve">- El formulario bloquea la liga porque el total ligado sería 110.00.
- No se crea InvoiceOrderLink para la nueva orden.
- El error explica que la suma excede el monto de la factura.</t>
  </si>
  <si>
    <t xml:space="preserve">Revisar que la tabla de órdenes ligadas no cambie.</t>
  </si>
  <si>
    <t xml:space="preserve">invoice/tests.py:130</t>
  </si>
  <si>
    <t xml:space="preserve">invoice/services.py:265, invoice/services.py:314</t>
  </si>
  <si>
    <t xml:space="preserve">INV-004</t>
  </si>
  <si>
    <t xml:space="preserve">Tope de factura manual permite límite exacto</t>
  </si>
  <si>
    <t xml:space="preserve">Factura manual amount 100.00. Orden ligada existente 80.00. Nueva orden completada 20.00.</t>
  </si>
  <si>
    <t xml:space="preserve">1. Abrir edición de factura.
2. Ligar la orden de 20.00.</t>
  </si>
  <si>
    <t xml:space="preserve">- El formulario guarda correctamente.
- El total de órdenes ligadas es igual al monto de la factura 100.00.</t>
  </si>
  <si>
    <t xml:space="preserve">Revisar la suma de órdenes ligadas a la factura.</t>
  </si>
  <si>
    <t xml:space="preserve">invoice/tests.py:187</t>
  </si>
  <si>
    <t xml:space="preserve">invoice/services.py:314</t>
  </si>
  <si>
    <t xml:space="preserve">INV-005</t>
  </si>
  <si>
    <t xml:space="preserve">Factura con monto automático deriva el monto desde órdenes ligadas</t>
  </si>
  <si>
    <t xml:space="preserve">Factura automática inicialmente liga orden de 50.00.</t>
  </si>
  <si>
    <t xml:space="preserve">1. Crear factura desde órdenes completadas o habilitar auto_amount.
2. Agregar otra orden completada por 25.00.
3. Guardar edición de factura.</t>
  </si>
  <si>
    <t xml:space="preserve">- La factura auto_amount acepta órdenes ligadas aunque el monto previo hubiera sido excedido.
- El monto de la factura se sincroniza a 75.00.
- Si se quitan todas las ligas, el monto se sincroniza a 0.00.</t>
  </si>
  <si>
    <t xml:space="preserve">Revisar monto de factura después de guardar y después de quitar ligas.</t>
  </si>
  <si>
    <t xml:space="preserve">invoice/tests.py:159, invoice/tests.py:469, invoice/tests.py:485</t>
  </si>
  <si>
    <t xml:space="preserve">invoice/services.py:476, invoice/services.py:534, invoice/views.py:142</t>
  </si>
  <si>
    <t xml:space="preserve">INV-006</t>
  </si>
  <si>
    <t xml:space="preserve">Crear factura masiva desde órdenes completadas del mismo cliente</t>
  </si>
  <si>
    <t xml:space="preserve">Usuario admin. Dos órdenes completadas para el mismo cliente corporativo listo para facturar: 50.00 y 30.00.</t>
  </si>
  <si>
    <t xml:space="preserve">1. Abrir dashboard admin de órdenes.
2. Seleccionar ambas órdenes completadas.
3. Elegir acción masiva Crear factura.
4. Enviar.</t>
  </si>
  <si>
    <t xml:space="preserve">- Redirige a pantalla de edición de factura.
- Se crea factura por 80.00.
- La factura tiene dos filas InvoiceOrderLink.
- identifier y folio son placeholders BORRADOR para actualización posterior.</t>
  </si>
  <si>
    <t xml:space="preserve">Revisar IDs de órdenes ligadas a la factura.</t>
  </si>
  <si>
    <t xml:space="preserve">orders/tests.py:1043, invoice/tests.py:413, invoice/tests.py:426</t>
  </si>
  <si>
    <t xml:space="preserve">orders/views.py:253, invoice/services.py:476</t>
  </si>
  <si>
    <t xml:space="preserve">INV-007</t>
  </si>
  <si>
    <t xml:space="preserve">Crear factura masiva rechaza órdenes no completadas</t>
  </si>
  <si>
    <t xml:space="preserve">La selección incluye una orden completada y una pendiente.</t>
  </si>
  <si>
    <t xml:space="preserve">1. Abrir dashboard admin de órdenes.
2. Seleccionar órdenes con estados mixtos.
3. Elegir Crear factura y enviar.</t>
  </si>
  <si>
    <t xml:space="preserve">- No se crea factura.
- El mensaje indica que solo órdenes completadas pueden facturarse.
- El ID de la orden pendiente aparece en el contexto del error.</t>
  </si>
  <si>
    <t xml:space="preserve">Revisar conteo de facturas para el cliente.</t>
  </si>
  <si>
    <t xml:space="preserve">orders/tests.py:1062</t>
  </si>
  <si>
    <t xml:space="preserve">orders/views.py:253</t>
  </si>
  <si>
    <t xml:space="preserve">INV-008</t>
  </si>
  <si>
    <t xml:space="preserve">Crear factura masiva rechaza órdenes de corporativos distintos</t>
  </si>
  <si>
    <t xml:space="preserve">Las órdenes completadas seleccionadas pertenecen a propietarios corporativos distintos.</t>
  </si>
  <si>
    <t xml:space="preserve">1. Seleccionar órdenes completadas de distintos clientes corporativos.
2. Ejecutar Crear factura.</t>
  </si>
  <si>
    <t xml:space="preserve">- No se crea factura.
- El error indica que todas las órdenes seleccionadas deben pertenecer al mismo cliente corporativo.</t>
  </si>
  <si>
    <t xml:space="preserve">Incluir combinaciones sucursal/corporativo en esta prueba.</t>
  </si>
  <si>
    <t xml:space="preserve">invoice/tests.py:445</t>
  </si>
  <si>
    <t xml:space="preserve">invoice/services.py:476, orders/views.py:253</t>
  </si>
  <si>
    <t xml:space="preserve">INV-009</t>
  </si>
  <si>
    <t xml:space="preserve">Generación de factura rechaza datos fiscales o dirección fiscal faltantes</t>
  </si>
  <si>
    <t xml:space="preserve">Cliente con órdenes completadas pero sin RFC/razon_social o sin dirección fiscal activa.</t>
  </si>
  <si>
    <t xml:space="preserve">1. Ejecutar Crear factura desde admin de órdenes.
2. Repetir con RFC/razon_social faltante.
3. Repetir con dirección fiscal activa faltante.</t>
  </si>
  <si>
    <t xml:space="preserve">- No se crea factura.
- El error identifica RFC/Razón social o dirección fiscal faltante.
- Para sucursales, se nombra al corporativo cuando faltan datos corporativos.</t>
  </si>
  <si>
    <t xml:space="preserve">Revisar que no se creen filas parciales de factura/liga.</t>
  </si>
  <si>
    <t xml:space="preserve">orders/tests.py:1076, orders/tests.py:1093, invoice/tests.py:455</t>
  </si>
  <si>
    <t xml:space="preserve">invoice/services.py:47, invoice/services.py:476</t>
  </si>
  <si>
    <t xml:space="preserve">INV-010</t>
  </si>
  <si>
    <t xml:space="preserve">Factura de sucursal valida datos fiscales corporativos, no datos propios de sucursal</t>
  </si>
  <si>
    <t xml:space="preserve">La sucursal tiene datos/dirección fiscal propios, pero su corporativo no tiene RFC o dirección de facturación.</t>
  </si>
  <si>
    <t xml:space="preserve">1. Seleccionar una orden completada de sucursal.
2. Ejecutar Crear factura.</t>
  </si>
  <si>
    <t xml:space="preserve">- La creación de factura se rechaza.
- El error referencia al cliente corporativo como propietario fiscal requerido.
- Los datos fiscales de la sucursal no evitan la validación corporativa.</t>
  </si>
  <si>
    <t xml:space="preserve">Revisar configuración de sucursal y corporativo antes de la prueba.</t>
  </si>
  <si>
    <t xml:space="preserve">orders/tests.py:1121, clients/tests.py:140, clients/tests.py:173</t>
  </si>
  <si>
    <t xml:space="preserve">invoice/services.py:23, invoice/services.py:47</t>
  </si>
  <si>
    <t xml:space="preserve">INV-011</t>
  </si>
  <si>
    <t xml:space="preserve">Snapshot de balance de factura separa capacidad disponible de saldo no pagado</t>
  </si>
  <si>
    <t xml:space="preserve">Factura amount 1000.00 ligada a órdenes por 800.00. Pagos incluyen cash 600.00 y pending_credit 50.00.</t>
  </si>
  <si>
    <t xml:space="preserve">1. Abrir lista/dashboard de facturas o vista/servicio de snapshot si existe en UI.
2. Comparar totales de órdenes ligadas y pagos completados no crediticios.</t>
  </si>
  <si>
    <t xml:space="preserve">- La capacidad disponible es 200.00 porque el monto de factura excede los totales ligados.
- El saldo no pagado es 400.00 porque pending_credit se excluye del total pagado.
- Una factura completamente usada/pagada no cuenta en ninguno de los dos grupos.</t>
  </si>
  <si>
    <t xml:space="preserve">Usar columnas de monto, total de pagos y pendiente en la lista de facturas.</t>
  </si>
  <si>
    <t xml:space="preserve">invoice/tests.py:565</t>
  </si>
  <si>
    <t xml:space="preserve">invoice/services.py:97, invoice/models.py:47, invoice/models.py:136</t>
  </si>
  <si>
    <t xml:space="preserve">INV-012</t>
  </si>
  <si>
    <t xml:space="preserve">Pantallas admin de crear y editar factura guardan campos y ligas</t>
  </si>
  <si>
    <t xml:space="preserve">Usuario staff/admin y cliente listo para facturar.</t>
  </si>
  <si>
    <t xml:space="preserve">1. Abrir Administrador &gt; Facturas &gt; Nueva Factura.
2. Crear factura con cliente, serie, folio y amount 150.00.
3. Abrir edición y ligar una orden completada.</t>
  </si>
  <si>
    <t xml:space="preserve">- Crear redirige a la página de edición.
- La factura existe con identifier/folio/amount capturados.
- La orden ligada aparece en la tabla de ventas ligadas de la factura.</t>
  </si>
  <si>
    <t xml:space="preserve">El campo de archivo se puede probar aparte si QA tiene PDF/XML de muestra.</t>
  </si>
  <si>
    <t xml:space="preserve">invoice/tests.py:523, invoice/tests.py:536, invoice/tests.py:542</t>
  </si>
  <si>
    <t xml:space="preserve">invoice/views.py:120, invoice/views.py:142</t>
  </si>
  <si>
    <t xml:space="preserve">CAN-001</t>
  </si>
  <si>
    <t xml:space="preserve">Cancelar orden pendiente la marca como cancelada sin borrar productos</t>
  </si>
  <si>
    <t xml:space="preserve">Existe una orden pendiente con al menos un producto.</t>
  </si>
  <si>
    <t xml:space="preserve">1. Abrir pantalla de la orden.
2. Hacer clic en cancelar orden y confirmar.
3. Abrir admin/detalle de la orden.</t>
  </si>
  <si>
    <t xml:space="preserve">- El estado de la orden cambia a CANCELLED.
- Las filas OrderProduct siguen presentes para auditoría/historial.
- No se marca bandera de revisión de cancelación.</t>
  </si>
  <si>
    <t xml:space="preserve">Revisar filtros de lista de órdenes activas/canceladas.</t>
  </si>
  <si>
    <t xml:space="preserve">orders/tests.py:656, orders/tests.py:929</t>
  </si>
  <si>
    <t xml:space="preserve">orders/services.py:329, orders/services.py:398, orders/views.py:528</t>
  </si>
  <si>
    <t xml:space="preserve">CAN-002</t>
  </si>
  <si>
    <t xml:space="preserve">Cancelar orden completada pagada en efectivo revierte estado del pago externo</t>
  </si>
  <si>
    <t xml:space="preserve">Orden completada con pago cash completado.</t>
  </si>
  <si>
    <t xml:space="preserve">1. Cancelar la orden completada.
2. Abrir pagos de la orden.</t>
  </si>
  <si>
    <t xml:space="preserve">- El estado de la orden cambia a CANCELLED.
- El pago cash cambia a status reversed.
- Balance y deuda del cliente no cambian para pago solo en efectivo.</t>
  </si>
  <si>
    <t xml:space="preserve">Revisar que reportes no cuenten pagos revertidos.</t>
  </si>
  <si>
    <t xml:space="preserve">orders/tests.py:673, report/tests.py:437</t>
  </si>
  <si>
    <t xml:space="preserve">orders/services.py:323, orders/services.py:329, report/views.py:45</t>
  </si>
  <si>
    <t xml:space="preserve">CAN-003</t>
  </si>
  <si>
    <t xml:space="preserve">Cancelar orden pagada con saldo restaura el saldo</t>
  </si>
  <si>
    <t xml:space="preserve">Orden completada con pago balance 40.00 y saldo del cliente reducido de 100.00 a 60.00.</t>
  </si>
  <si>
    <t xml:space="preserve">1. Cancelar la orden completada.
2. Abrir historial del detalle del cliente.</t>
  </si>
  <si>
    <t xml:space="preserve">- El saldo del cliente vuelve a 100.00.
- El pago original con saldo queda marcado como reversed.
- Existe BalanceTransaction transaction_type payment_reversal y referencia el pago.</t>
  </si>
  <si>
    <t xml:space="preserve">Confirmar que la orden está en CANCELLED.</t>
  </si>
  <si>
    <t xml:space="preserve">orders/tests.py:554, orders/tests.py:693</t>
  </si>
  <si>
    <t xml:space="preserve">clients/services/balance_service.py:331, orders/services.py:267</t>
  </si>
  <si>
    <t xml:space="preserve">CAN-004</t>
  </si>
  <si>
    <t xml:space="preserve">Cancelar orden a crédito abierta revierte compra a crédito</t>
  </si>
  <si>
    <t xml:space="preserve">Orden credito completada con marcador pending_credit pendiente y CreditTransaction purchase 50.00. Cliente current_debt = 50.00.</t>
  </si>
  <si>
    <t xml:space="preserve">1. Cancelar la orden a crédito.
2. Abrir historial de crédito del cliente y pagos de la orden.</t>
  </si>
  <si>
    <t xml:space="preserve">- current_debt del cliente queda en 0.00.
- El pago pending_credit cambia a status reversed.
- Existe CreditTransaction purchase_reversal para la orden.</t>
  </si>
  <si>
    <t xml:space="preserve">Revisar que el crédito disponible se restaure.</t>
  </si>
  <si>
    <t xml:space="preserve">orders/tests.py:589, orders/tests.py:721</t>
  </si>
  <si>
    <t xml:space="preserve">clients/services/balance_service.py:367, orders/services.py:302</t>
  </si>
  <si>
    <t xml:space="preserve">CAN-005</t>
  </si>
  <si>
    <t xml:space="preserve">Cancelar orden a crédito liquidada revierte pago de liquidación y compra</t>
  </si>
  <si>
    <t xml:space="preserve">Orden a crédito con pending_credit completed, liquidación cash completed, transacciones purchase y payment. La deuda actual del cliente es 0.00.</t>
  </si>
  <si>
    <t xml:space="preserve">1. Cancelar la orden a crédito liquidada.
2. Abrir pagos de la orden y transacciones de crédito del cliente.</t>
  </si>
  <si>
    <t xml:space="preserve">- pending_credit y pago cash de liquidación cambian a reversed.
- Una transacción payment_reversal restaura la deuda liquidada.
- Una transacción purchase_reversal revierte la compra original a crédito.
- current_debt final del cliente permanece en 0.00.</t>
  </si>
  <si>
    <t xml:space="preserve">La orden queda CANCELLED y el reporte de crédito ya no infla crédito abierto.</t>
  </si>
  <si>
    <t xml:space="preserve">orders/tests.py:607, orders/tests.py:757, clients/tests_credit_report_service.py:186</t>
  </si>
  <si>
    <t xml:space="preserve">orders/services.py:281, orders/services.py:302, orders/services.py:323</t>
  </si>
  <si>
    <t xml:space="preserve">CAN-006</t>
  </si>
  <si>
    <t xml:space="preserve">Cancelar orden cuyo saldo agregado fue gastado requiere revisión</t>
  </si>
  <si>
    <t xml:space="preserve">La orden con cantidad_cobrada agregó 50.00 al saldo del cliente, pero el balance actual ya es 0.00.</t>
  </si>
  <si>
    <t xml:space="preserve">1. Intentar cancelar la orden completada.
2. Abrir lista/admin de órdenes.</t>
  </si>
  <si>
    <t xml:space="preserve">- La cancelación falla con review_required true.
- La orden permanece COMPLETED.
- cancellation_review_required queda true y la razón menciona saldo.
- Aparece badge de revisión en lista/admin de órdenes.</t>
  </si>
  <si>
    <t xml:space="preserve">Finanzas/admin debe resolver manualmente antes de reintentar.</t>
  </si>
  <si>
    <t xml:space="preserve">orders/tests.py:819, orders/tests.py:1163, orders/tests.py:1179</t>
  </si>
  <si>
    <t xml:space="preserve">orders/services.py:237, orders/services.py:329, orders/views.py:305</t>
  </si>
  <si>
    <t xml:space="preserve">CAN-007</t>
  </si>
  <si>
    <t xml:space="preserve">Cancelar orden ligada a factura requiere revisión</t>
  </si>
  <si>
    <t xml:space="preserve">Orden completada ligada a una factura.</t>
  </si>
  <si>
    <t xml:space="preserve">1. Intentar cancelar la orden.
2. Abrir lista de órdenes y facturas en detalle del cliente.</t>
  </si>
  <si>
    <t xml:space="preserve">- La cancelación falla con review_required true.
- La orden permanece COMPLETED.
- La razón de revisión menciona factura.
- Aparece badge de revisión en listas de usuario/admin.</t>
  </si>
  <si>
    <t xml:space="preserve">La liga de factura debe revisarse antes de proceder con cancelación.</t>
  </si>
  <si>
    <t xml:space="preserve">orders/tests.py:844, orders/tests.py:959</t>
  </si>
  <si>
    <t xml:space="preserve">orders/services.py:329, orders/views.py:528</t>
  </si>
  <si>
    <t xml:space="preserve">CAN-008</t>
  </si>
  <si>
    <t xml:space="preserve">Reintento exitoso de cancelación limpia metadatos de revisión</t>
  </si>
  <si>
    <t xml:space="preserve">Orden con cancellation_review_required true por un intento bloqueado previo y el bloqueo ya fue resuelto.</t>
  </si>
  <si>
    <t xml:space="preserve">1. Reintentar cancelación después de resolver el problema.
2. Abrir registro de la orden.</t>
  </si>
  <si>
    <t xml:space="preserve">- La cancelación se completa.
- El estado de la orden cambia a CANCELLED.
- cancellation_review_required, reason, requested_at y requested_by quedan limpios.</t>
  </si>
  <si>
    <t xml:space="preserve">La orden ya no aparece bajo filtro REVIEW_REQUIRED.</t>
  </si>
  <si>
    <t xml:space="preserve">orders/tests.py:864, orders/tests.py:1195</t>
  </si>
  <si>
    <t xml:space="preserve">orders/services.py:230, orders/services.py:329</t>
  </si>
  <si>
    <t xml:space="preserve">REP-001</t>
  </si>
  <si>
    <t xml:space="preserve">Reporte global de crédito muestra columnas de crédito y ordenamiento correcto</t>
  </si>
  <si>
    <t xml:space="preserve">Cliente activo Tempano con current_debt 17000.00, credit_limit 20000.00, vencido 9700.00. Cliente activo Vigor con current_debt 8300.00 sin vencido. También existen clientes inactivos y sin crédito.</t>
  </si>
  <si>
    <t xml:space="preserve">1. Abrir Reportes &gt; Crédito global.
2. Revisar filas y totales.</t>
  </si>
  <si>
    <t xml:space="preserve">- Columnas incluyen Crédito vigente, Línea de crédito autorizada, Disponible y Monto vencido.
- Aparecen clientes activos con crédito/deuda.
- Clientes inactivos y sin crédito/sin deuda se excluyen.
- Las filas se ordenan por monto vencido descendente y luego deuda actual descendente.</t>
  </si>
  <si>
    <t xml:space="preserve">Usar filtro de búsqueda si el dataset es grande.</t>
  </si>
  <si>
    <t xml:space="preserve">clients/tests_credit_report_service.py:73, report/tests.py:506</t>
  </si>
  <si>
    <t xml:space="preserve">clients/services/credit_report_service.py:261, report/views.py:235</t>
  </si>
  <si>
    <t xml:space="preserve">REP-002</t>
  </si>
  <si>
    <t xml:space="preserve">Reporte de crédito de cliente separa crédito abierto facturado y no facturado</t>
  </si>
  <si>
    <t xml:space="preserve">Cliente con dos órdenes a crédito facturadas por 9700.00 y una orden a crédito sin factura por 4500.00. Current debt = 14200.00.</t>
  </si>
  <si>
    <t xml:space="preserve">1. Abrir detalle de cliente y hacer clic en Reporte de crédito.
2. Revisar secciones del reporte detallado.</t>
  </si>
  <si>
    <t xml:space="preserve">- Total de crédito facturado es 9700.00.
- Total de crédito no facturado es 4500.00.
- El ítem de factura muestra identifier/folio de la factura.
- No aparece advertencia de reconciliación cuando current_debt coincide con crédito abierto total.</t>
  </si>
  <si>
    <t xml:space="preserve">Revisar que exista la liga al reporte desde detalle del cliente.</t>
  </si>
  <si>
    <t xml:space="preserve">clients/tests_credit_report_service.py:120, report/tests.py:528, report/tests.py:556</t>
  </si>
  <si>
    <t xml:space="preserve">clients/services/credit_report_service.py:250, clients/views.py:608, report/views.py:290</t>
  </si>
  <si>
    <t xml:space="preserve">REP-003</t>
  </si>
  <si>
    <t xml:space="preserve">Crédito invoice_due no facturado no está vencido hasta emisión de factura</t>
  </si>
  <si>
    <t xml:space="preserve">Cliente usa invoice_due. Existe orden a crédito antigua sin liga a factura con emmited_at.</t>
  </si>
  <si>
    <t xml:space="preserve">1. Abrir reporte global de crédito y reporte de crédito del cliente.
2. Inspeccionar monto vencido y fecha de vencimiento de la orden.</t>
  </si>
  <si>
    <t xml:space="preserve">- El monto vencido del reporte global es 0.00 para este cliente/orden.
- El reporte de cliente no muestra fecha de vencimiento para la orden sin factura.
- La orden sin factura no se marca como vencida.</t>
  </si>
  <si>
    <t xml:space="preserve">Después ligar factura/fecha de emisión y ejecutar CFG-007.</t>
  </si>
  <si>
    <t xml:space="preserve">clients/tests_credit_report_service.py:164</t>
  </si>
  <si>
    <t xml:space="preserve">REP-004</t>
  </si>
  <si>
    <t xml:space="preserve">Órdenes canceladas y pagos revertidos no inflan crédito abierto ni reportes de pagos</t>
  </si>
  <si>
    <t xml:space="preserve">Cliente con orden a crédito activa 100.00, orden a crédito cancelada 500.00 y pago cash revertido 100.00.</t>
  </si>
  <si>
    <t xml:space="preserve">1. Abrir reporte de crédito del cliente.
2. Abrir reportes de órdenes/pagos filtrados por método de pago si aplica.</t>
  </si>
  <si>
    <t xml:space="preserve">- El total de crédito abierto permanece en 100.00.
- El monto vencido solo incluye orden activa sin pagar.
- El pago revertido se ignora en reportes filtrados por método de pago.</t>
  </si>
  <si>
    <t xml:space="preserve">Revisar que la orden cancelada se excluya por defecto de reportes.</t>
  </si>
  <si>
    <t xml:space="preserve">clients/tests_credit_report_service.py:186, report/tests.py:437</t>
  </si>
  <si>
    <t xml:space="preserve">clients/services/credit_report_service.py:100, report/views.py:39, report/views.py:45</t>
  </si>
  <si>
    <t xml:space="preserve">REP-005</t>
  </si>
  <si>
    <t xml:space="preserve">Export CSV del reporte global de crédito contiene columnas requeridas</t>
  </si>
  <si>
    <t xml:space="preserve">El reporte de crédito tiene al menos una fila de cliente.</t>
  </si>
  <si>
    <t xml:space="preserve">1. Abrir reporte global de crédito.
2. Hacer clic en exportar CSV.
3. Abrir el CSV descargado.</t>
  </si>
  <si>
    <t xml:space="preserve">- Headers CSV: Cliente, Crédito vigente, Línea de crédito autorizada, Disponible, Monto vencido.
- Los valores de moneda se exportan como decimales crudos con dos decimales.
- Los filtros de búsqueda se preservan en la liga de exportación.</t>
  </si>
  <si>
    <t xml:space="preserve">Validar con cliente llamado Tempano si se usa dataset de prueba.</t>
  </si>
  <si>
    <t xml:space="preserve">report/tests.py:520</t>
  </si>
  <si>
    <t xml:space="preserve">report/views.py:200, report/views.py:262</t>
  </si>
  <si>
    <t xml:space="preserve">REP-006</t>
  </si>
  <si>
    <t xml:space="preserve">Modo créditos de lista de clientes filtra clientes con deuda</t>
  </si>
  <si>
    <t xml:space="preserve">Al menos un cliente tiene current_debt &gt; 0 y al menos un cliente activo tiene deuda cero.</t>
  </si>
  <si>
    <t xml:space="preserve">1. Abrir lista de clientes con mode=credits.
2. Usar búsqueda y paginación.</t>
  </si>
  <si>
    <t xml:space="preserve">- Solo aparecen clientes con current_debt mayor a 0.
- Búsqueda y paginación preservan mode=credits.
- Título/subtítulo indican contexto de cobranza de crédito.</t>
  </si>
  <si>
    <t xml:space="preserve">Usar detalle del cliente para clientes seleccionados con deuda.</t>
  </si>
  <si>
    <t xml:space="preserve">clients/tests.py:596, clients/tests.py:640</t>
  </si>
  <si>
    <t xml:space="preserve">clients/views.py:777</t>
  </si>
  <si>
    <t xml:space="preserve">ID Setup</t>
  </si>
  <si>
    <t xml:space="preserve">Entidad</t>
  </si>
  <si>
    <t xml:space="preserve">Instrucciones de preparación</t>
  </si>
  <si>
    <t xml:space="preserve">Usado por</t>
  </si>
  <si>
    <t xml:space="preserve">Notas</t>
  </si>
  <si>
    <t xml:space="preserve">SET-001</t>
  </si>
  <si>
    <t xml:space="preserve">Usuario</t>
  </si>
  <si>
    <t xml:space="preserve">Crear o usar una cuenta QA staff/superuser.</t>
  </si>
  <si>
    <t xml:space="preserve">Todos los casos admin y reportes</t>
  </si>
  <si>
    <t xml:space="preserve">Usar la misma cuenta para que created_by sea fácil de auditar.</t>
  </si>
  <si>
    <t xml:space="preserve">SET-002</t>
  </si>
  <si>
    <t xml:space="preserve">Producto</t>
  </si>
  <si>
    <t xml:space="preserve">Crear producto QA Garrafón con precio conocido, por ejemplo 25.00.</t>
  </si>
  <si>
    <t xml:space="preserve">Casos de creación de órdenes</t>
  </si>
  <si>
    <t xml:space="preserve">Cualquier producto sirve si los totales de orden coinciden con los montos del escenario.</t>
  </si>
  <si>
    <t xml:space="preserve">SET-003</t>
  </si>
  <si>
    <t xml:space="preserve">Cliente contado</t>
  </si>
  <si>
    <t xml:space="preserve">Crear QA Contado con balance 0.00, credit_limit 0.00, current_debt 0.00.</t>
  </si>
  <si>
    <t xml:space="preserve">PAY-001, PAY-003, PAY-006</t>
  </si>
  <si>
    <t xml:space="preserve">Usar para flujos ordinarios de pago.</t>
  </si>
  <si>
    <t xml:space="preserve">SET-004</t>
  </si>
  <si>
    <t xml:space="preserve">Cliente con saldo</t>
  </si>
  <si>
    <t xml:space="preserve">Crear QA Balance con balance 100.00 y current_debt 0.00.</t>
  </si>
  <si>
    <t xml:space="preserve">PAY-002, PAY-004, BAL-001, BAL-002, CAN-003</t>
  </si>
  <si>
    <t xml:space="preserve">Registrar saldo inicial antes de cada prueba.</t>
  </si>
  <si>
    <t xml:space="preserve">SET-005</t>
  </si>
  <si>
    <t xml:space="preserve">Cliente crédito OK</t>
  </si>
  <si>
    <t xml:space="preserve">Crear QA Crédito OK con balance 0.00, credit_limit 500.00, current_debt 0.00, can_pay_with_credit true, monthly_cutoff last_day.</t>
  </si>
  <si>
    <t xml:space="preserve">CRED-001, CRED-006, CRED-008, REP-001</t>
  </si>
  <si>
    <t xml:space="preserve">Usar montos exactos de deuda/límite según cada escenario.</t>
  </si>
  <si>
    <t xml:space="preserve">SET-006</t>
  </si>
  <si>
    <t xml:space="preserve">Cliente crédito mixto</t>
  </si>
  <si>
    <t xml:space="preserve">Crear QA Crédito Mixto con balance 30.00, credit_limit 100.00, current_debt 0.00, can_pay_with_credit true.</t>
  </si>
  <si>
    <t xml:space="preserve">CRED-002, CRED-005</t>
  </si>
  <si>
    <t xml:space="preserve">Reiniciar saldo/deuda entre ejecuciones.</t>
  </si>
  <si>
    <t xml:space="preserve">SET-007</t>
  </si>
  <si>
    <t xml:space="preserve">Cliente crédito bloqueado</t>
  </si>
  <si>
    <t xml:space="preserve">Crear QA Crédito Bloqueado con balance 30.00, credit_limit 200.00, current_debt 0.00, can_pay_with_credit false.</t>
  </si>
  <si>
    <t xml:space="preserve">CRED-004, CFG-001</t>
  </si>
  <si>
    <t xml:space="preserve">La etiqueta del checkbox está invertida: marcado significa bloquear crédito.</t>
  </si>
  <si>
    <t xml:space="preserve">SET-008</t>
  </si>
  <si>
    <t xml:space="preserve">Corporativo listo para factura</t>
  </si>
  <si>
    <t xml:space="preserve">Crear QA Factura Corp con type corporate, InvoiceData RFC/razon_social y una dirección fiscal/facturación activa.</t>
  </si>
  <si>
    <t xml:space="preserve">INV-001 a INV-012</t>
  </si>
  <si>
    <t xml:space="preserve">Las pruebas usan RFC placeholder tipo AAA010101AAA.</t>
  </si>
  <si>
    <t xml:space="preserve">SET-009</t>
  </si>
  <si>
    <t xml:space="preserve">Par sucursal/corporativo</t>
  </si>
  <si>
    <t xml:space="preserve">Crear clientes corporativo y sucursal para herencia y validación de factura; variar completitud fiscal corporativa.</t>
  </si>
  <si>
    <t xml:space="preserve">CFG-003, CFG-004, CFG-005, INV-010</t>
  </si>
  <si>
    <t xml:space="preserve">Los datos fiscales de sucursal no deben saltarse la validación fiscal corporativa.</t>
  </si>
  <si>
    <t xml:space="preserve">SET-010</t>
  </si>
  <si>
    <t xml:space="preserve">Dataset reporte crédito</t>
  </si>
  <si>
    <t xml:space="preserve">Crear clientes estilo Tempano/Vigor con compras a crédito fechadas 2026-04-01 y 2026-07-01.</t>
  </si>
  <si>
    <t xml:space="preserve">REP-001, REP-002, REP-003, REP-004</t>
  </si>
  <si>
    <t xml:space="preserve">Usar base QA desechable porque las fechas son específicas del escenario.</t>
  </si>
  <si>
    <t xml:space="preserve">SET-011</t>
  </si>
  <si>
    <t xml:space="preserve">Términos invoice_due</t>
  </si>
  <si>
    <t xml:space="preserve">Para pruebas invoice_due, configurar requires_billing true y max_payment_days 30.</t>
  </si>
  <si>
    <t xml:space="preserve">CFG-002, CFG-007, REP-003</t>
  </si>
  <si>
    <t xml:space="preserve">Órdenes sin factura no deben tener fecha de vencimiento.</t>
  </si>
  <si>
    <t xml:space="preserve">SET-012</t>
  </si>
  <si>
    <t xml:space="preserve">Limpieza/reinicio</t>
  </si>
  <si>
    <t xml:space="preserve">Después de cada caso con movimiento de dinero, registrar saldos/deudas iniciales y finales, IDs de orden, pago y transacciones.</t>
  </si>
  <si>
    <t xml:space="preserve">Todos los casos financieros</t>
  </si>
  <si>
    <t xml:space="preserve">Esta hoja es para notas de ejecución manual, no para teardown automatizado.</t>
  </si>
  <si>
    <t xml:space="preserve">Comportamiento</t>
  </si>
  <si>
    <t xml:space="preserve">Código fuente principal</t>
  </si>
  <si>
    <t xml:space="preserve">Pruebas automatizadas</t>
  </si>
  <si>
    <t xml:space="preserve">IDs de casos manuales</t>
  </si>
  <si>
    <t xml:space="preserve">Enrutamiento de solicitud de pago, pago único/múltiple, cantidad_cobrada</t>
  </si>
  <si>
    <t xml:space="preserve">payment/services.py:33, payment/services.py:216, payment/services.py:285, payment/services.py:337</t>
  </si>
  <si>
    <t xml:space="preserve">payment/tests.py:26, payment/tests.py:56, payment/tests.py:76, payment/tests.py:118</t>
  </si>
  <si>
    <t xml:space="preserve">PAY-001 a PAY-009</t>
  </si>
  <si>
    <t xml:space="preserve">Pantalla de pago de orden, métodos válidos, entrada para liquidar crédito pendiente</t>
  </si>
  <si>
    <t xml:space="preserve">orders/views.py:67, orders/views.py:113</t>
  </si>
  <si>
    <t xml:space="preserve">payment/tests.py:294, orders/tests.py:1511</t>
  </si>
  <si>
    <t xml:space="preserve">PAY-001, CRED-008, CRED-009</t>
  </si>
  <si>
    <t xml:space="preserve">Mutaciones de saldo y filas de auditoría</t>
  </si>
  <si>
    <t xml:space="preserve">clients/services/balance_service.py:59, clients/services/balance_service.py:120, clients/models.py:320</t>
  </si>
  <si>
    <t xml:space="preserve">tests/test_balance_credit_history.py:1, orders/tests.py:554</t>
  </si>
  <si>
    <t xml:space="preserve">BAL-001, BAL-002, CAN-003</t>
  </si>
  <si>
    <t xml:space="preserve">Pago de deuda, pago desde saldo, cambios de límite de crédito</t>
  </si>
  <si>
    <t xml:space="preserve">clients/services/balance_service.py:261, clients/services/balance_service.py:431, clients/services/balance_service.py:488</t>
  </si>
  <si>
    <t xml:space="preserve">DEBT-001 a DEBT-005</t>
  </si>
  <si>
    <t xml:space="preserve">Ciclo de vida para registrar y liquidar órdenes a crédito</t>
  </si>
  <si>
    <t xml:space="preserve">payment/services.py:403, payment/services.py:423, payment/services.py:501, payment/services.py:108</t>
  </si>
  <si>
    <t xml:space="preserve">payment/tests.py:205, payment/tests.py:316, payment/tests.py:344, payment/tests.py:396</t>
  </si>
  <si>
    <t xml:space="preserve">CRED-001 a CRED-011</t>
  </si>
  <si>
    <t xml:space="preserve">Disponibilidad de crédito, paro de emergencia, override/herencia de sucursal</t>
  </si>
  <si>
    <t xml:space="preserve">clients/models.py:195, clients/models.py:199, clients/services/client_service.py:51, clients/views.py:262</t>
  </si>
  <si>
    <t xml:space="preserve">clients/tests_credit_management.py:75, clients/tests_credit_management.py:170, clients/tests_credit_management.py:301</t>
  </si>
  <si>
    <t xml:space="preserve">CFG-001 a CFG-005</t>
  </si>
  <si>
    <t xml:space="preserve">Términos crédito</t>
  </si>
  <si>
    <t xml:space="preserve">Cálculo de corte mensual y fecha de vencimiento por factura</t>
  </si>
  <si>
    <t xml:space="preserve">clients/tests_credit_terms.py:13, clients/tests_credit_terms.py:33, clients/tests_credit_terms.py:46</t>
  </si>
  <si>
    <t xml:space="preserve">CFG-006, CFG-007, REP-003</t>
  </si>
  <si>
    <t xml:space="preserve">Órdenes facturables, validación de tope, creación y sincronización de factura</t>
  </si>
  <si>
    <t xml:space="preserve">invoice/services.py:265, invoice/services.py:314, invoice/services.py:352, invoice/services.py:476, invoice/services.py:534</t>
  </si>
  <si>
    <t xml:space="preserve">invoice/tests.py:38, invoice/tests.py:130, invoice/tests.py:413, invoice/tests.py:469</t>
  </si>
  <si>
    <t xml:space="preserve">Vistas admin de factura y acción masiva Crear factura</t>
  </si>
  <si>
    <t xml:space="preserve">invoice/views.py:120, invoice/views.py:142, orders/views.py:253</t>
  </si>
  <si>
    <t xml:space="preserve">invoice/tests.py:523, invoice/tests.py:542, orders/tests.py:1043</t>
  </si>
  <si>
    <t xml:space="preserve">INV-006, INV-012</t>
  </si>
  <si>
    <t xml:space="preserve">Reversas financieras y lógica review_required</t>
  </si>
  <si>
    <t xml:space="preserve">orders/services.py:237, orders/services.py:267, orders/services.py:281, orders/services.py:302, orders/services.py:329</t>
  </si>
  <si>
    <t xml:space="preserve">orders/tests.py:656, orders/tests.py:693, orders/tests.py:721, orders/tests.py:757, orders/tests.py:819, orders/tests.py:844</t>
  </si>
  <si>
    <t xml:space="preserve">CAN-001 a CAN-008</t>
  </si>
  <si>
    <t xml:space="preserve">Reportes de crédito global y por cliente</t>
  </si>
  <si>
    <t xml:space="preserve">clients/services/credit_report_service.py:250, clients/services/credit_report_service.py:261, report/views.py:235, report/views.py:262</t>
  </si>
  <si>
    <t xml:space="preserve">clients/tests_credit_report_service.py:73, clients/tests_credit_report_service.py:120, report/tests.py:506, report/tests.py:520</t>
  </si>
  <si>
    <t xml:space="preserve">REP-001 a REP-006</t>
  </si>
  <si>
    <t xml:space="preserve">Detalle cliente</t>
  </si>
  <si>
    <t xml:space="preserve">Estado de crédito del cliente, vencidos, facturas e historial de pagos</t>
  </si>
  <si>
    <t xml:space="preserve">clients/views.py:576, clients/views.py:608, clients/services/pending_payment_service.py:94</t>
  </si>
  <si>
    <t xml:space="preserve">clients/tests.py:416, clients/tests.py:501, clients/tests_credit_management.py:542</t>
  </si>
  <si>
    <t xml:space="preserve">CRED-006, REP-002, REP-006</t>
  </si>
  <si>
    <t xml:space="preserve">sla</t>
  </si>
  <si>
    <t xml:space="preserve">Guía</t>
  </si>
  <si>
    <t xml:space="preserve">Propósito</t>
  </si>
  <si>
    <t xml:space="preserve">Handoff QA manual para escenarios de pagos, facturas, crédito y deuda trazados desde las pruebas unitarias y el código fuente actual.</t>
  </si>
  <si>
    <t xml:space="preserve">Entregable principal</t>
  </si>
  <si>
    <t xml:space="preserve">Importar este XLSX en Google Sheets. Crear una hoja nativa requeriría instalar el plugin Google Drive.</t>
  </si>
  <si>
    <t xml:space="preserve">Orden recomendado</t>
  </si>
  <si>
    <t xml:space="preserve">Ejecutar setup y luego casos P0 primero: PAY, CRED, INV, CAN, REP. Completar P1/P2 después de validar flujos financieros base.</t>
  </si>
  <si>
    <t xml:space="preserve">Ambiente de ejecución</t>
  </si>
  <si>
    <t xml:space="preserve">Usar base de datos o tenant QA desechable. Muchos casos mutan saldos, deudas, pagos, facturas y estado de cancelación.</t>
  </si>
  <si>
    <t xml:space="preserve">Registro de evidencia</t>
  </si>
  <si>
    <t xml:space="preserve">Para cada caso, llenar Estado, Responsable, Fecha probada, Resultado real, Liga defecto y Notas en Casos Manuales.</t>
  </si>
  <si>
    <t xml:space="preserve">Enfoque de auditoría</t>
  </si>
  <si>
    <t xml:space="preserve">Registrar siempre ID de cliente, orden, pago, factura, BalanceTransaction y CreditTransaction cuando existan.</t>
  </si>
  <si>
    <t xml:space="preserve">Trazabilidad</t>
  </si>
  <si>
    <t xml:space="preserve">Usar la pestaña Mapa de Fuentes para mapear cada caso manual contra pruebas automatizadas y código de servicio.</t>
  </si>
  <si>
    <t xml:space="preserve">Terminología</t>
  </si>
  <si>
    <t xml:space="preserve">Saldo = balance prepago. Deuda/current_debt = monto adeudado. Payment pending_credit = marcador de crédito, no dinero pagado.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</si>
</sst>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yyyy\-mm\-dd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sz val="10"/>
      <color rgb="FF111827"/>
      <name val="Calibri"/>
      <family val="0"/>
      <charset val="1"/>
    </font>
    <font>
      <sz val="10"/>
      <color rgb="FF0F172A"/>
      <name val="Calibri"/>
      <family val="0"/>
      <charset val="1"/>
    </font>
    <font>
      <b val="true"/>
      <sz val="10"/>
      <color rgb="FFFFFFFF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F172A"/>
        <bgColor rgb="FF111827"/>
      </patternFill>
    </fill>
    <fill>
      <patternFill patternType="solid">
        <fgColor rgb="FFE0F2FE"/>
        <bgColor rgb="FFF3F4F6"/>
      </patternFill>
    </fill>
    <fill>
      <patternFill patternType="solid">
        <fgColor rgb="FF1F4E78"/>
        <bgColor rgb="FF475569"/>
      </patternFill>
    </fill>
    <fill>
      <patternFill patternType="solid">
        <fgColor rgb="FF475569"/>
        <bgColor rgb="FF1F4E78"/>
      </patternFill>
    </fill>
    <fill>
      <patternFill patternType="solid">
        <fgColor rgb="FFF8FAFC"/>
        <bgColor rgb="FFFFFFFF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 diagonalUp="false" diagonalDown="false">
      <left style="thin">
        <color rgb="FFCBD5E1"/>
      </left>
      <right/>
      <top style="thin">
        <color rgb="FFCBD5E1"/>
      </top>
      <bottom/>
      <diagonal/>
    </border>
    <border diagonalUp="false" diagonalDown="false">
      <left/>
      <right style="thin">
        <color rgb="FFCBD5E1"/>
      </right>
      <top style="thin">
        <color rgb="FFCBD5E1"/>
      </top>
      <bottom/>
      <diagonal/>
    </border>
    <border diagonalUp="false" diagonalDown="false">
      <left style="thin">
        <color rgb="FFCBD5E1"/>
      </left>
      <right/>
      <top/>
      <bottom/>
      <diagonal/>
    </border>
    <border diagonalUp="false" diagonalDown="false">
      <left/>
      <right style="thin">
        <color rgb="FFCBD5E1"/>
      </right>
      <top/>
      <bottom/>
      <diagonal/>
    </border>
    <border diagonalUp="false" diagonalDown="false">
      <left style="thin">
        <color rgb="FFCBD5E1"/>
      </left>
      <right/>
      <top/>
      <bottom style="thin">
        <color rgb="FFCBD5E1"/>
      </bottom>
      <diagonal/>
    </border>
    <border diagonalUp="false" diagonalDown="false">
      <left/>
      <right style="thin">
        <color rgb="FFCBD5E1"/>
      </right>
      <top/>
      <bottom style="thin">
        <color rgb="FFCBD5E1"/>
      </bottom>
      <diagonal/>
    </border>
    <border diagonalUp="false" diagonalDown="false">
      <left/>
      <right style="thin">
        <color rgb="FFF3F4F6"/>
      </right>
      <top/>
      <bottom style="thin">
        <color rgb="FFE5E7EB"/>
      </bottom>
      <diagonal/>
    </border>
    <border diagonalUp="false" diagonalDown="false">
      <left style="thin">
        <color rgb="FFF3F4F6"/>
      </left>
      <right style="thin">
        <color rgb="FFF3F4F6"/>
      </right>
      <top/>
      <bottom style="thin">
        <color rgb="FFE5E7EB"/>
      </bottom>
      <diagonal/>
    </border>
    <border diagonalUp="false" diagonalDown="false">
      <left style="thin">
        <color rgb="FFF3F4F6"/>
      </left>
      <right/>
      <top/>
      <bottom style="thin">
        <color rgb="FFE5E7EB"/>
      </bottom>
      <diagonal/>
    </border>
    <border diagonalUp="false" diagonalDown="false">
      <left/>
      <right style="thin">
        <color rgb="FFF3F4F6"/>
      </right>
      <top style="thin">
        <color rgb="FFE5E7EB"/>
      </top>
      <bottom style="thin">
        <color rgb="FFE5E7EB"/>
      </bottom>
      <diagonal/>
    </border>
    <border diagonalUp="false" diagonalDown="false">
      <left style="thin">
        <color rgb="FFF3F4F6"/>
      </left>
      <right style="thin">
        <color rgb="FFF3F4F6"/>
      </right>
      <top style="thin">
        <color rgb="FFE5E7EB"/>
      </top>
      <bottom style="thin">
        <color rgb="FFE5E7EB"/>
      </bottom>
      <diagonal/>
    </border>
    <border diagonalUp="false" diagonalDown="false">
      <left style="thin">
        <color rgb="FFF3F4F6"/>
      </left>
      <right/>
      <top style="thin">
        <color rgb="FFE5E7EB"/>
      </top>
      <bottom style="thin">
        <color rgb="FFE5E7EB"/>
      </bottom>
      <diagonal/>
    </border>
    <border diagonalUp="false" diagonalDown="false">
      <left/>
      <right style="thin">
        <color rgb="FFF3F4F6"/>
      </right>
      <top style="thin">
        <color rgb="FFE5E7EB"/>
      </top>
      <bottom style="thin">
        <color rgb="FFD1D5DB"/>
      </bottom>
      <diagonal/>
    </border>
    <border diagonalUp="false" diagonalDown="false">
      <left style="thin">
        <color rgb="FFF3F4F6"/>
      </left>
      <right style="thin">
        <color rgb="FFF3F4F6"/>
      </right>
      <top style="thin">
        <color rgb="FFE5E7EB"/>
      </top>
      <bottom style="thin">
        <color rgb="FFD1D5DB"/>
      </bottom>
      <diagonal/>
    </border>
    <border diagonalUp="false" diagonalDown="false">
      <left style="thin">
        <color rgb="FFF3F4F6"/>
      </left>
      <right/>
      <top style="thin">
        <color rgb="FFE5E7EB"/>
      </top>
      <bottom style="thin">
        <color rgb="FFD1D5DB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2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3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4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5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6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7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8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9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1" xfId="2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2" xfId="2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2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2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3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4" xfId="2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5" xfId="2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5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5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6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3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4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6" xfId="2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1182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b val="1"/>
        <color rgb="FF166534"/>
      </font>
      <fill>
        <patternFill>
          <bgColor rgb="FFDCFCE7"/>
        </patternFill>
      </fill>
    </dxf>
    <dxf>
      <font>
        <b val="1"/>
        <color rgb="FF991B1B"/>
      </font>
      <fill>
        <patternFill>
          <bgColor rgb="FFFEE2E2"/>
        </patternFill>
      </fill>
    </dxf>
    <dxf>
      <font>
        <b val="1"/>
        <color rgb="FF92400E"/>
      </font>
      <fill>
        <patternFill>
          <bgColor rgb="FFFEF3C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166534"/>
      <rgbColor rgb="FF000080"/>
      <rgbColor rgb="FF808000"/>
      <rgbColor rgb="FF800080"/>
      <rgbColor rgb="FF008080"/>
      <rgbColor rgb="FFD1D5DB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F2FE"/>
      <rgbColor rgb="FFE5E7EB"/>
      <rgbColor rgb="FFF3F4F6"/>
      <rgbColor rgb="FFF8FAFC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003366"/>
      <rgbColor rgb="FF339966"/>
      <rgbColor rgb="FF111827"/>
      <rgbColor rgb="FF333300"/>
      <rgbColor rgb="FF92400E"/>
      <rgbColor rgb="FF993366"/>
      <rgbColor rgb="FF1F4E78"/>
      <rgbColor rgb="FF0F17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DataSetupTable" displayName="DataSetupTable" ref="A1:E13" headerRowCount="1" totalsRowCount="0" totalsRowShown="0">
  <autoFilter ref="A1:E13"/>
  <tableColumns count="5">
    <tableColumn id="1" name="ID Setup"/>
    <tableColumn id="2" name="Entidad"/>
    <tableColumn id="3" name="Instrucciones de preparación"/>
    <tableColumn id="4" name="Usado por"/>
    <tableColumn id="5" name="Notas"/>
  </tableColumns>
</table>
</file>

<file path=xl/tables/table2.xml><?xml version="1.0" encoding="utf-8"?>
<table xmlns="http://schemas.openxmlformats.org/spreadsheetml/2006/main" id="2" name="ManualCasesTable" displayName="ManualCasesTable" ref="A1:Q62" headerRowCount="1" totalsRowCount="0" totalsRowShown="0">
  <autoFilter ref="A1:Q62"/>
  <tableColumns count="17">
    <tableColumn id="1" name="ID Caso"/>
    <tableColumn id="2" name="Área"/>
    <tableColumn id="3" name="Prioridad"/>
    <tableColumn id="4" name="Escenario"/>
    <tableColumn id="5" name="Precondiciones / Datos"/>
    <tableColumn id="6" name="Pasos manuales"/>
    <tableColumn id="7" name="Resultados esperados"/>
    <tableColumn id="8" name="Post-checks / Evidencia"/>
    <tableColumn id="9" name="Pruebas fuente"/>
    <tableColumn id="10" name="Código fuente"/>
    <tableColumn id="11" name="Notas QA"/>
    <tableColumn id="12" name="Estado"/>
    <tableColumn id="13" name="Responsable"/>
    <tableColumn id="14" name="Fecha probada"/>
    <tableColumn id="15" name="Resultado real"/>
    <tableColumn id="16" name="Liga defecto"/>
    <tableColumn id="17" name="Notas de ejecución"/>
  </tableColumns>
</table>
</file>

<file path=xl/tables/table3.xml><?xml version="1.0" encoding="utf-8"?>
<table xmlns="http://schemas.openxmlformats.org/spreadsheetml/2006/main" id="3" name="RunGuideTable" displayName="RunGuideTable" ref="A1:B9" headerRowCount="1" totalsRowCount="0" totalsRowShown="0">
  <autoFilter ref="A1:B9"/>
  <tableColumns count="2">
    <tableColumn id="1" name="sla"/>
    <tableColumn id="2" name="Guía"/>
  </tableColumns>
</table>
</file>

<file path=xl/tables/table4.xml><?xml version="1.0" encoding="utf-8"?>
<table xmlns="http://schemas.openxmlformats.org/spreadsheetml/2006/main" id="4" name="SourceMapTable" displayName="SourceMapTable" ref="A1:E13" headerRowCount="1" totalsRowCount="0" totalsRowShown="0">
  <autoFilter ref="A1:E13"/>
  <tableColumns count="5">
    <tableColumn id="1" name="Área"/>
    <tableColumn id="2" name="Comportamiento"/>
    <tableColumn id="3" name="Código fuente principal"/>
    <tableColumn id="4" name="Pruebas automatizadas"/>
    <tableColumn id="5" name="IDs de casos manuales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zeroHeight="false" outlineLevelRow="0" outlineLevelCol="0"/>
  <cols>
    <col collapsed="false" customWidth="true" hidden="false" outlineLevel="0" max="1" min="1" style="0" width="14.44"/>
    <col collapsed="false" customWidth="true" hidden="false" outlineLevel="0" max="2" min="2" style="0" width="35.56"/>
    <col collapsed="false" customWidth="true" hidden="false" outlineLevel="0" max="5" min="3" style="0" width="8.89"/>
    <col collapsed="false" customWidth="true" hidden="false" outlineLevel="0" max="6" min="6" style="0" width="12.78"/>
    <col collapsed="false" customWidth="true" hidden="false" outlineLevel="0" max="8" min="7" style="0" width="8.89"/>
    <col collapsed="false" customWidth="true" hidden="false" outlineLevel="0" max="9" min="9" style="0" width="3.34"/>
    <col collapsed="false" customWidth="true" hidden="false" outlineLevel="0" max="10" min="10" style="0" width="20"/>
    <col collapsed="false" customWidth="true" hidden="false" outlineLevel="0" max="11" min="11" style="0" width="1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2"/>
      <c r="J1" s="2"/>
      <c r="K1" s="2"/>
    </row>
    <row r="2" customFormat="false" ht="15" hidden="false" customHeight="fals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2"/>
      <c r="J2" s="2"/>
      <c r="K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2"/>
      <c r="J4" s="5" t="s">
        <v>10</v>
      </c>
      <c r="K4" s="5" t="s">
        <v>11</v>
      </c>
    </row>
    <row r="5" customFormat="false" ht="15" hidden="false" customHeight="false" outlineLevel="0" collapsed="false">
      <c r="A5" s="6" t="s">
        <v>12</v>
      </c>
      <c r="B5" s="7" t="n">
        <f aca="false">COUNTIF('Casos Manuales'!$B$2:$B$62,A5)</f>
        <v>9</v>
      </c>
      <c r="C5" s="7" t="n">
        <f aca="false">COUNTIFS('Casos Manuales'!$B$2:$B$62,A5,'Casos Manuales'!$C$2:$C$62,"P0")</f>
        <v>5</v>
      </c>
      <c r="D5" s="7" t="n">
        <f aca="false">COUNTIFS('Casos Manuales'!$B$2:$B$62,A5,'Casos Manuales'!$C$2:$C$62,"P1")</f>
        <v>3</v>
      </c>
      <c r="E5" s="7" t="n">
        <f aca="false">COUNTIFS('Casos Manuales'!$B$2:$B$62,A5,'Casos Manuales'!$C$2:$C$62,"P2")</f>
        <v>1</v>
      </c>
      <c r="F5" s="7" t="n">
        <f aca="false">COUNTIFS('Casos Manuales'!$B$2:$B$62,A5,'Casos Manuales'!$L$2:$L$62,"Sin iniciar")</f>
        <v>9</v>
      </c>
      <c r="G5" s="7" t="n">
        <f aca="false">COUNTIFS('Casos Manuales'!$B$2:$B$62,A5,'Casos Manuales'!$L$2:$L$62,"Aprobado")</f>
        <v>0</v>
      </c>
      <c r="H5" s="7" t="n">
        <f aca="false">COUNTIFS('Casos Manuales'!$B$2:$B$62,A5,'Casos Manuales'!$L$2:$L$62,"Fallido")</f>
        <v>0</v>
      </c>
      <c r="I5" s="2"/>
      <c r="J5" s="6" t="s">
        <v>13</v>
      </c>
      <c r="K5" s="7" t="n">
        <f aca="false">COUNTA('Casos Manuales'!$A$2:$A$62)</f>
        <v>61</v>
      </c>
    </row>
    <row r="6" customFormat="false" ht="15" hidden="false" customHeight="false" outlineLevel="0" collapsed="false">
      <c r="A6" s="6" t="s">
        <v>14</v>
      </c>
      <c r="B6" s="7" t="n">
        <f aca="false">COUNTIF('Casos Manuales'!$B$2:$B$62,A6)</f>
        <v>2</v>
      </c>
      <c r="C6" s="7" t="n">
        <f aca="false">COUNTIFS('Casos Manuales'!$B$2:$B$62,A6,'Casos Manuales'!$C$2:$C$62,"P0")</f>
        <v>1</v>
      </c>
      <c r="D6" s="7" t="n">
        <f aca="false">COUNTIFS('Casos Manuales'!$B$2:$B$62,A6,'Casos Manuales'!$C$2:$C$62,"P1")</f>
        <v>1</v>
      </c>
      <c r="E6" s="7" t="n">
        <f aca="false">COUNTIFS('Casos Manuales'!$B$2:$B$62,A6,'Casos Manuales'!$C$2:$C$62,"P2")</f>
        <v>0</v>
      </c>
      <c r="F6" s="7" t="n">
        <f aca="false">COUNTIFS('Casos Manuales'!$B$2:$B$62,A6,'Casos Manuales'!$L$2:$L$62,"Sin iniciar")</f>
        <v>2</v>
      </c>
      <c r="G6" s="7" t="n">
        <f aca="false">COUNTIFS('Casos Manuales'!$B$2:$B$62,A6,'Casos Manuales'!$L$2:$L$62,"Aprobado")</f>
        <v>0</v>
      </c>
      <c r="H6" s="7" t="n">
        <f aca="false">COUNTIFS('Casos Manuales'!$B$2:$B$62,A6,'Casos Manuales'!$L$2:$L$62,"Fallido")</f>
        <v>0</v>
      </c>
      <c r="I6" s="2"/>
      <c r="J6" s="6" t="s">
        <v>15</v>
      </c>
      <c r="K6" s="7" t="n">
        <f aca="false">COUNTIF('Casos Manuales'!$C$2:$C$62,"P0")</f>
        <v>31</v>
      </c>
    </row>
    <row r="7" customFormat="false" ht="15" hidden="false" customHeight="false" outlineLevel="0" collapsed="false">
      <c r="A7" s="6" t="s">
        <v>16</v>
      </c>
      <c r="B7" s="7" t="n">
        <f aca="false">COUNTIF('Casos Manuales'!$B$2:$B$62,A7)</f>
        <v>5</v>
      </c>
      <c r="C7" s="7" t="n">
        <f aca="false">COUNTIFS('Casos Manuales'!$B$2:$B$62,A7,'Casos Manuales'!$C$2:$C$62,"P0")</f>
        <v>2</v>
      </c>
      <c r="D7" s="7" t="n">
        <f aca="false">COUNTIFS('Casos Manuales'!$B$2:$B$62,A7,'Casos Manuales'!$C$2:$C$62,"P1")</f>
        <v>3</v>
      </c>
      <c r="E7" s="7" t="n">
        <f aca="false">COUNTIFS('Casos Manuales'!$B$2:$B$62,A7,'Casos Manuales'!$C$2:$C$62,"P2")</f>
        <v>0</v>
      </c>
      <c r="F7" s="7" t="n">
        <f aca="false">COUNTIFS('Casos Manuales'!$B$2:$B$62,A7,'Casos Manuales'!$L$2:$L$62,"Sin iniciar")</f>
        <v>5</v>
      </c>
      <c r="G7" s="7" t="n">
        <f aca="false">COUNTIFS('Casos Manuales'!$B$2:$B$62,A7,'Casos Manuales'!$L$2:$L$62,"Aprobado")</f>
        <v>0</v>
      </c>
      <c r="H7" s="7" t="n">
        <f aca="false">COUNTIFS('Casos Manuales'!$B$2:$B$62,A7,'Casos Manuales'!$L$2:$L$62,"Fallido")</f>
        <v>0</v>
      </c>
      <c r="I7" s="2"/>
      <c r="J7" s="6" t="s">
        <v>17</v>
      </c>
      <c r="K7" s="7" t="n">
        <f aca="false">COUNTIF('Casos Manuales'!$L$2:$L$62,"Aprobado")</f>
        <v>0</v>
      </c>
    </row>
    <row r="8" customFormat="false" ht="15" hidden="false" customHeight="false" outlineLevel="0" collapsed="false">
      <c r="A8" s="6" t="s">
        <v>18</v>
      </c>
      <c r="B8" s="7" t="n">
        <f aca="false">COUNTIF('Casos Manuales'!$B$2:$B$62,A8)</f>
        <v>12</v>
      </c>
      <c r="C8" s="7" t="n">
        <f aca="false">COUNTIFS('Casos Manuales'!$B$2:$B$62,A8,'Casos Manuales'!$C$2:$C$62,"P0")</f>
        <v>6</v>
      </c>
      <c r="D8" s="7" t="n">
        <f aca="false">COUNTIFS('Casos Manuales'!$B$2:$B$62,A8,'Casos Manuales'!$C$2:$C$62,"P1")</f>
        <v>5</v>
      </c>
      <c r="E8" s="7" t="n">
        <f aca="false">COUNTIFS('Casos Manuales'!$B$2:$B$62,A8,'Casos Manuales'!$C$2:$C$62,"P2")</f>
        <v>1</v>
      </c>
      <c r="F8" s="7" t="n">
        <f aca="false">COUNTIFS('Casos Manuales'!$B$2:$B$62,A8,'Casos Manuales'!$L$2:$L$62,"Sin iniciar")</f>
        <v>12</v>
      </c>
      <c r="G8" s="7" t="n">
        <f aca="false">COUNTIFS('Casos Manuales'!$B$2:$B$62,A8,'Casos Manuales'!$L$2:$L$62,"Aprobado")</f>
        <v>0</v>
      </c>
      <c r="H8" s="7" t="n">
        <f aca="false">COUNTIFS('Casos Manuales'!$B$2:$B$62,A8,'Casos Manuales'!$L$2:$L$62,"Fallido")</f>
        <v>0</v>
      </c>
      <c r="I8" s="2"/>
      <c r="J8" s="6" t="s">
        <v>19</v>
      </c>
      <c r="K8" s="7" t="n">
        <f aca="false">COUNTIF('Casos Manuales'!$L$2:$L$62,"Fallido")</f>
        <v>0</v>
      </c>
    </row>
    <row r="9" customFormat="false" ht="15" hidden="false" customHeight="false" outlineLevel="0" collapsed="false">
      <c r="A9" s="6" t="s">
        <v>20</v>
      </c>
      <c r="B9" s="7" t="n">
        <f aca="false">COUNTIF('Casos Manuales'!$B$2:$B$62,A9)</f>
        <v>7</v>
      </c>
      <c r="C9" s="7" t="n">
        <f aca="false">COUNTIFS('Casos Manuales'!$B$2:$B$62,A9,'Casos Manuales'!$C$2:$C$62,"P0")</f>
        <v>1</v>
      </c>
      <c r="D9" s="7" t="n">
        <f aca="false">COUNTIFS('Casos Manuales'!$B$2:$B$62,A9,'Casos Manuales'!$C$2:$C$62,"P1")</f>
        <v>5</v>
      </c>
      <c r="E9" s="7" t="n">
        <f aca="false">COUNTIFS('Casos Manuales'!$B$2:$B$62,A9,'Casos Manuales'!$C$2:$C$62,"P2")</f>
        <v>1</v>
      </c>
      <c r="F9" s="7" t="n">
        <f aca="false">COUNTIFS('Casos Manuales'!$B$2:$B$62,A9,'Casos Manuales'!$L$2:$L$62,"Sin iniciar")</f>
        <v>7</v>
      </c>
      <c r="G9" s="7" t="n">
        <f aca="false">COUNTIFS('Casos Manuales'!$B$2:$B$62,A9,'Casos Manuales'!$L$2:$L$62,"Aprobado")</f>
        <v>0</v>
      </c>
      <c r="H9" s="7" t="n">
        <f aca="false">COUNTIFS('Casos Manuales'!$B$2:$B$62,A9,'Casos Manuales'!$L$2:$L$62,"Fallido")</f>
        <v>0</v>
      </c>
      <c r="I9" s="2"/>
      <c r="J9" s="6" t="s">
        <v>21</v>
      </c>
      <c r="K9" s="7" t="n">
        <f aca="false">COUNTIF('Casos Manuales'!$L$2:$L$62,"Bloqueado")</f>
        <v>0</v>
      </c>
    </row>
    <row r="10" customFormat="false" ht="15" hidden="false" customHeight="false" outlineLevel="0" collapsed="false">
      <c r="A10" s="6" t="s">
        <v>22</v>
      </c>
      <c r="B10" s="7" t="n">
        <f aca="false">COUNTIF('Casos Manuales'!$B$2:$B$62,A10)</f>
        <v>12</v>
      </c>
      <c r="C10" s="7" t="n">
        <f aca="false">COUNTIFS('Casos Manuales'!$B$2:$B$62,A10,'Casos Manuales'!$C$2:$C$62,"P0")</f>
        <v>7</v>
      </c>
      <c r="D10" s="7" t="n">
        <f aca="false">COUNTIFS('Casos Manuales'!$B$2:$B$62,A10,'Casos Manuales'!$C$2:$C$62,"P1")</f>
        <v>4</v>
      </c>
      <c r="E10" s="7" t="n">
        <f aca="false">COUNTIFS('Casos Manuales'!$B$2:$B$62,A10,'Casos Manuales'!$C$2:$C$62,"P2")</f>
        <v>1</v>
      </c>
      <c r="F10" s="7" t="n">
        <f aca="false">COUNTIFS('Casos Manuales'!$B$2:$B$62,A10,'Casos Manuales'!$L$2:$L$62,"Sin iniciar")</f>
        <v>12</v>
      </c>
      <c r="G10" s="7" t="n">
        <f aca="false">COUNTIFS('Casos Manuales'!$B$2:$B$62,A10,'Casos Manuales'!$L$2:$L$62,"Aprobado")</f>
        <v>0</v>
      </c>
      <c r="H10" s="7" t="n">
        <f aca="false">COUNTIFS('Casos Manuales'!$B$2:$B$62,A10,'Casos Manuales'!$L$2:$L$62,"Fallido")</f>
        <v>0</v>
      </c>
      <c r="I10" s="2"/>
      <c r="J10" s="2"/>
      <c r="K10" s="2"/>
    </row>
    <row r="11" customFormat="false" ht="15" hidden="false" customHeight="false" outlineLevel="0" collapsed="false">
      <c r="A11" s="6" t="s">
        <v>23</v>
      </c>
      <c r="B11" s="7" t="n">
        <f aca="false">COUNTIF('Casos Manuales'!$B$2:$B$62,A11)</f>
        <v>8</v>
      </c>
      <c r="C11" s="7" t="n">
        <f aca="false">COUNTIFS('Casos Manuales'!$B$2:$B$62,A11,'Casos Manuales'!$C$2:$C$62,"P0")</f>
        <v>7</v>
      </c>
      <c r="D11" s="7" t="n">
        <f aca="false">COUNTIFS('Casos Manuales'!$B$2:$B$62,A11,'Casos Manuales'!$C$2:$C$62,"P1")</f>
        <v>0</v>
      </c>
      <c r="E11" s="7" t="n">
        <f aca="false">COUNTIFS('Casos Manuales'!$B$2:$B$62,A11,'Casos Manuales'!$C$2:$C$62,"P2")</f>
        <v>1</v>
      </c>
      <c r="F11" s="7" t="n">
        <f aca="false">COUNTIFS('Casos Manuales'!$B$2:$B$62,A11,'Casos Manuales'!$L$2:$L$62,"Sin iniciar")</f>
        <v>8</v>
      </c>
      <c r="G11" s="7" t="n">
        <f aca="false">COUNTIFS('Casos Manuales'!$B$2:$B$62,A11,'Casos Manuales'!$L$2:$L$62,"Aprobado")</f>
        <v>0</v>
      </c>
      <c r="H11" s="7" t="n">
        <f aca="false">COUNTIFS('Casos Manuales'!$B$2:$B$62,A11,'Casos Manuales'!$L$2:$L$62,"Fallido")</f>
        <v>0</v>
      </c>
      <c r="I11" s="2"/>
      <c r="J11" s="2"/>
      <c r="K11" s="2"/>
    </row>
    <row r="12" customFormat="false" ht="15" hidden="false" customHeight="false" outlineLevel="0" collapsed="false">
      <c r="A12" s="6" t="s">
        <v>24</v>
      </c>
      <c r="B12" s="7" t="n">
        <f aca="false">COUNTIF('Casos Manuales'!$B$2:$B$62,A12)</f>
        <v>6</v>
      </c>
      <c r="C12" s="7" t="n">
        <f aca="false">COUNTIFS('Casos Manuales'!$B$2:$B$62,A12,'Casos Manuales'!$C$2:$C$62,"P0")</f>
        <v>2</v>
      </c>
      <c r="D12" s="7" t="n">
        <f aca="false">COUNTIFS('Casos Manuales'!$B$2:$B$62,A12,'Casos Manuales'!$C$2:$C$62,"P1")</f>
        <v>2</v>
      </c>
      <c r="E12" s="7" t="n">
        <f aca="false">COUNTIFS('Casos Manuales'!$B$2:$B$62,A12,'Casos Manuales'!$C$2:$C$62,"P2")</f>
        <v>2</v>
      </c>
      <c r="F12" s="7" t="n">
        <f aca="false">COUNTIFS('Casos Manuales'!$B$2:$B$62,A12,'Casos Manuales'!$L$2:$L$62,"Sin iniciar")</f>
        <v>6</v>
      </c>
      <c r="G12" s="7" t="n">
        <f aca="false">COUNTIFS('Casos Manuales'!$B$2:$B$62,A12,'Casos Manuales'!$L$2:$L$62,"Aprobado")</f>
        <v>0</v>
      </c>
      <c r="H12" s="7" t="n">
        <f aca="false">COUNTIFS('Casos Manuales'!$B$2:$B$62,A12,'Casos Manuales'!$L$2:$L$62,"Fallido")</f>
        <v>0</v>
      </c>
      <c r="I12" s="2"/>
      <c r="J12" s="2"/>
      <c r="K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customFormat="false" ht="15" hidden="false" customHeight="false" outlineLevel="0" collapsed="false">
      <c r="A15" s="8" t="s">
        <v>25</v>
      </c>
      <c r="B15" s="8"/>
      <c r="C15" s="2"/>
      <c r="D15" s="2"/>
      <c r="E15" s="2"/>
      <c r="F15" s="2"/>
      <c r="G15" s="2"/>
      <c r="H15" s="2"/>
      <c r="I15" s="2"/>
      <c r="J15" s="2"/>
      <c r="K15" s="2"/>
    </row>
    <row r="16" customFormat="false" ht="48" hidden="false" customHeight="true" outlineLevel="0" collapsed="false">
      <c r="A16" s="9" t="s">
        <v>26</v>
      </c>
      <c r="B16" s="10" t="s">
        <v>27</v>
      </c>
      <c r="C16" s="2"/>
      <c r="D16" s="2"/>
      <c r="E16" s="2"/>
      <c r="F16" s="2"/>
      <c r="G16" s="2"/>
      <c r="H16" s="2"/>
      <c r="I16" s="2"/>
      <c r="J16" s="2"/>
      <c r="K16" s="2"/>
    </row>
    <row r="17" customFormat="false" ht="48" hidden="false" customHeight="true" outlineLevel="0" collapsed="false">
      <c r="A17" s="11" t="s">
        <v>28</v>
      </c>
      <c r="B17" s="12" t="s">
        <v>29</v>
      </c>
      <c r="C17" s="2"/>
      <c r="D17" s="2"/>
      <c r="E17" s="2"/>
      <c r="F17" s="2"/>
      <c r="G17" s="2"/>
      <c r="H17" s="2"/>
      <c r="I17" s="2"/>
      <c r="J17" s="2"/>
      <c r="K17" s="2"/>
    </row>
    <row r="18" customFormat="false" ht="48" hidden="false" customHeight="true" outlineLevel="0" collapsed="false">
      <c r="A18" s="11" t="s">
        <v>30</v>
      </c>
      <c r="B18" s="12" t="s">
        <v>31</v>
      </c>
      <c r="C18" s="2"/>
      <c r="D18" s="2"/>
      <c r="E18" s="2"/>
      <c r="F18" s="2"/>
      <c r="G18" s="2"/>
      <c r="H18" s="2"/>
      <c r="I18" s="2"/>
      <c r="J18" s="2"/>
      <c r="K18" s="2"/>
    </row>
    <row r="19" customFormat="false" ht="48" hidden="false" customHeight="true" outlineLevel="0" collapsed="false">
      <c r="A19" s="11" t="s">
        <v>32</v>
      </c>
      <c r="B19" s="12" t="s">
        <v>33</v>
      </c>
      <c r="C19" s="2"/>
      <c r="D19" s="2"/>
      <c r="E19" s="2"/>
      <c r="F19" s="2"/>
      <c r="G19" s="2"/>
      <c r="H19" s="2"/>
      <c r="I19" s="2"/>
      <c r="J19" s="2"/>
      <c r="K19" s="2"/>
    </row>
    <row r="20" customFormat="false" ht="48" hidden="false" customHeight="true" outlineLevel="0" collapsed="false">
      <c r="A20" s="11" t="s">
        <v>34</v>
      </c>
      <c r="B20" s="12" t="s">
        <v>35</v>
      </c>
      <c r="C20" s="2"/>
      <c r="D20" s="2"/>
      <c r="E20" s="2"/>
      <c r="F20" s="2"/>
      <c r="G20" s="2"/>
      <c r="H20" s="2"/>
      <c r="I20" s="2"/>
      <c r="J20" s="2"/>
      <c r="K20" s="2"/>
    </row>
    <row r="21" customFormat="false" ht="48" hidden="false" customHeight="true" outlineLevel="0" collapsed="false">
      <c r="A21" s="13" t="s">
        <v>36</v>
      </c>
      <c r="B21" s="14" t="s">
        <v>37</v>
      </c>
      <c r="C21" s="2"/>
      <c r="D21" s="2"/>
      <c r="E21" s="2"/>
      <c r="F21" s="2"/>
      <c r="G21" s="2"/>
      <c r="H21" s="2"/>
      <c r="I21" s="2"/>
      <c r="J21" s="2"/>
      <c r="K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</sheetData>
  <mergeCells count="2">
    <mergeCell ref="A1:H1"/>
    <mergeCell ref="A2: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2"/>
  <sheetViews>
    <sheetView showFormulas="false" showGridLines="false" showRowColHeaders="true" showZeros="true" rightToLeft="false" tabSelected="false" showOutlineSymbols="true" defaultGridColor="true" view="normal" topLeftCell="C49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.22"/>
    <col collapsed="false" customWidth="true" hidden="false" outlineLevel="0" max="3" min="3" style="0" width="7.78"/>
    <col collapsed="false" customWidth="true" hidden="false" outlineLevel="0" max="4" min="4" style="0" width="27.78"/>
    <col collapsed="false" customWidth="true" hidden="false" outlineLevel="0" max="5" min="5" style="0" width="31.11"/>
    <col collapsed="false" customWidth="true" hidden="false" outlineLevel="0" max="7" min="6" style="0" width="40"/>
    <col collapsed="false" customWidth="true" hidden="false" outlineLevel="0" max="8" min="8" style="0" width="28.89"/>
    <col collapsed="false" customWidth="true" hidden="false" outlineLevel="0" max="9" min="9" style="0" width="20"/>
    <col collapsed="false" customWidth="true" hidden="false" outlineLevel="0" max="11" min="10" style="0" width="23.33"/>
    <col collapsed="false" customWidth="true" hidden="false" outlineLevel="0" max="12" min="12" style="0" width="11.67"/>
    <col collapsed="false" customWidth="true" hidden="false" outlineLevel="0" max="13" min="13" style="0" width="13.34"/>
    <col collapsed="false" customWidth="true" hidden="false" outlineLevel="0" max="14" min="14" style="0" width="12.78"/>
    <col collapsed="false" customWidth="true" hidden="false" outlineLevel="0" max="15" min="15" style="0" width="28.89"/>
    <col collapsed="false" customWidth="true" hidden="false" outlineLevel="0" max="16" min="16" style="0" width="20"/>
    <col collapsed="false" customWidth="true" hidden="false" outlineLevel="0" max="17" min="17" style="0" width="28.89"/>
  </cols>
  <sheetData>
    <row r="1" customFormat="false" ht="15" hidden="false" customHeight="true" outlineLevel="0" collapsed="false">
      <c r="A1" s="15" t="s">
        <v>38</v>
      </c>
      <c r="B1" s="16" t="s">
        <v>2</v>
      </c>
      <c r="C1" s="16" t="s">
        <v>39</v>
      </c>
      <c r="D1" s="16" t="s">
        <v>40</v>
      </c>
      <c r="E1" s="16" t="s">
        <v>41</v>
      </c>
      <c r="F1" s="16" t="s">
        <v>42</v>
      </c>
      <c r="G1" s="16" t="s">
        <v>43</v>
      </c>
      <c r="H1" s="16" t="s">
        <v>44</v>
      </c>
      <c r="I1" s="16" t="s">
        <v>45</v>
      </c>
      <c r="J1" s="16" t="s">
        <v>46</v>
      </c>
      <c r="K1" s="16" t="s">
        <v>47</v>
      </c>
      <c r="L1" s="16" t="s">
        <v>48</v>
      </c>
      <c r="M1" s="16" t="s">
        <v>49</v>
      </c>
      <c r="N1" s="16" t="s">
        <v>50</v>
      </c>
      <c r="O1" s="16" t="s">
        <v>51</v>
      </c>
      <c r="P1" s="16" t="s">
        <v>52</v>
      </c>
      <c r="Q1" s="17" t="s">
        <v>53</v>
      </c>
    </row>
    <row r="2" customFormat="false" ht="60" hidden="false" customHeight="true" outlineLevel="0" collapsed="false">
      <c r="A2" s="18" t="s">
        <v>54</v>
      </c>
      <c r="B2" s="19" t="s">
        <v>12</v>
      </c>
      <c r="C2" s="19" t="s">
        <v>4</v>
      </c>
      <c r="D2" s="20" t="s">
        <v>55</v>
      </c>
      <c r="E2" s="20" t="s">
        <v>56</v>
      </c>
      <c r="F2" s="20" t="s">
        <v>57</v>
      </c>
      <c r="G2" s="20" t="s">
        <v>58</v>
      </c>
      <c r="H2" s="20" t="s">
        <v>59</v>
      </c>
      <c r="I2" s="20" t="s">
        <v>60</v>
      </c>
      <c r="J2" s="20" t="s">
        <v>61</v>
      </c>
      <c r="K2" s="20"/>
      <c r="L2" s="20" t="s">
        <v>7</v>
      </c>
      <c r="M2" s="20"/>
      <c r="N2" s="21"/>
      <c r="O2" s="20"/>
      <c r="P2" s="20"/>
      <c r="Q2" s="22"/>
    </row>
    <row r="3" customFormat="false" ht="72" hidden="false" customHeight="true" outlineLevel="0" collapsed="false">
      <c r="A3" s="18" t="s">
        <v>62</v>
      </c>
      <c r="B3" s="19" t="s">
        <v>12</v>
      </c>
      <c r="C3" s="19" t="s">
        <v>4</v>
      </c>
      <c r="D3" s="20" t="s">
        <v>63</v>
      </c>
      <c r="E3" s="20" t="s">
        <v>64</v>
      </c>
      <c r="F3" s="20" t="s">
        <v>65</v>
      </c>
      <c r="G3" s="20" t="s">
        <v>66</v>
      </c>
      <c r="H3" s="20" t="s">
        <v>67</v>
      </c>
      <c r="I3" s="20" t="s">
        <v>68</v>
      </c>
      <c r="J3" s="20" t="s">
        <v>69</v>
      </c>
      <c r="K3" s="20"/>
      <c r="L3" s="20" t="s">
        <v>7</v>
      </c>
      <c r="M3" s="20"/>
      <c r="N3" s="21"/>
      <c r="O3" s="20"/>
      <c r="P3" s="20"/>
      <c r="Q3" s="22"/>
    </row>
    <row r="4" customFormat="false" ht="60" hidden="false" customHeight="true" outlineLevel="0" collapsed="false">
      <c r="A4" s="18" t="s">
        <v>70</v>
      </c>
      <c r="B4" s="19" t="s">
        <v>12</v>
      </c>
      <c r="C4" s="19" t="s">
        <v>4</v>
      </c>
      <c r="D4" s="20" t="s">
        <v>71</v>
      </c>
      <c r="E4" s="20" t="s">
        <v>72</v>
      </c>
      <c r="F4" s="20" t="s">
        <v>73</v>
      </c>
      <c r="G4" s="20" t="s">
        <v>74</v>
      </c>
      <c r="H4" s="20" t="s">
        <v>75</v>
      </c>
      <c r="I4" s="20" t="s">
        <v>76</v>
      </c>
      <c r="J4" s="20" t="s">
        <v>77</v>
      </c>
      <c r="K4" s="20"/>
      <c r="L4" s="20" t="s">
        <v>7</v>
      </c>
      <c r="M4" s="20"/>
      <c r="N4" s="21"/>
      <c r="O4" s="20"/>
      <c r="P4" s="20"/>
      <c r="Q4" s="22"/>
    </row>
    <row r="5" customFormat="false" ht="48" hidden="false" customHeight="true" outlineLevel="0" collapsed="false">
      <c r="A5" s="18" t="s">
        <v>78</v>
      </c>
      <c r="B5" s="19" t="s">
        <v>12</v>
      </c>
      <c r="C5" s="19" t="s">
        <v>4</v>
      </c>
      <c r="D5" s="20" t="s">
        <v>79</v>
      </c>
      <c r="E5" s="20" t="s">
        <v>80</v>
      </c>
      <c r="F5" s="20" t="s">
        <v>81</v>
      </c>
      <c r="G5" s="20" t="s">
        <v>82</v>
      </c>
      <c r="H5" s="20" t="s">
        <v>83</v>
      </c>
      <c r="I5" s="20" t="s">
        <v>84</v>
      </c>
      <c r="J5" s="20" t="s">
        <v>85</v>
      </c>
      <c r="K5" s="20"/>
      <c r="L5" s="20" t="s">
        <v>7</v>
      </c>
      <c r="M5" s="20"/>
      <c r="N5" s="21"/>
      <c r="O5" s="20"/>
      <c r="P5" s="20"/>
      <c r="Q5" s="22"/>
    </row>
    <row r="6" customFormat="false" ht="60" hidden="false" customHeight="true" outlineLevel="0" collapsed="false">
      <c r="A6" s="18" t="s">
        <v>86</v>
      </c>
      <c r="B6" s="19" t="s">
        <v>12</v>
      </c>
      <c r="C6" s="19" t="s">
        <v>5</v>
      </c>
      <c r="D6" s="20" t="s">
        <v>87</v>
      </c>
      <c r="E6" s="20" t="s">
        <v>88</v>
      </c>
      <c r="F6" s="20" t="s">
        <v>89</v>
      </c>
      <c r="G6" s="20" t="s">
        <v>90</v>
      </c>
      <c r="H6" s="20" t="s">
        <v>91</v>
      </c>
      <c r="I6" s="20" t="s">
        <v>92</v>
      </c>
      <c r="J6" s="20" t="s">
        <v>93</v>
      </c>
      <c r="K6" s="20"/>
      <c r="L6" s="20" t="s">
        <v>7</v>
      </c>
      <c r="M6" s="20"/>
      <c r="N6" s="21"/>
      <c r="O6" s="20"/>
      <c r="P6" s="20"/>
      <c r="Q6" s="22"/>
    </row>
    <row r="7" customFormat="false" ht="60" hidden="false" customHeight="true" outlineLevel="0" collapsed="false">
      <c r="A7" s="18" t="s">
        <v>94</v>
      </c>
      <c r="B7" s="19" t="s">
        <v>12</v>
      </c>
      <c r="C7" s="19" t="s">
        <v>4</v>
      </c>
      <c r="D7" s="20" t="s">
        <v>95</v>
      </c>
      <c r="E7" s="20" t="s">
        <v>96</v>
      </c>
      <c r="F7" s="20" t="s">
        <v>97</v>
      </c>
      <c r="G7" s="20" t="s">
        <v>98</v>
      </c>
      <c r="H7" s="20" t="s">
        <v>99</v>
      </c>
      <c r="I7" s="20" t="s">
        <v>100</v>
      </c>
      <c r="J7" s="20" t="s">
        <v>101</v>
      </c>
      <c r="K7" s="20"/>
      <c r="L7" s="20" t="s">
        <v>7</v>
      </c>
      <c r="M7" s="20"/>
      <c r="N7" s="21"/>
      <c r="O7" s="20"/>
      <c r="P7" s="20"/>
      <c r="Q7" s="22"/>
    </row>
    <row r="8" customFormat="false" ht="36" hidden="false" customHeight="true" outlineLevel="0" collapsed="false">
      <c r="A8" s="18" t="s">
        <v>102</v>
      </c>
      <c r="B8" s="19" t="s">
        <v>12</v>
      </c>
      <c r="C8" s="19" t="s">
        <v>5</v>
      </c>
      <c r="D8" s="20" t="s">
        <v>103</v>
      </c>
      <c r="E8" s="20" t="s">
        <v>104</v>
      </c>
      <c r="F8" s="20" t="s">
        <v>105</v>
      </c>
      <c r="G8" s="20" t="s">
        <v>106</v>
      </c>
      <c r="H8" s="20" t="s">
        <v>107</v>
      </c>
      <c r="I8" s="20" t="s">
        <v>108</v>
      </c>
      <c r="J8" s="20" t="s">
        <v>109</v>
      </c>
      <c r="K8" s="20"/>
      <c r="L8" s="20" t="s">
        <v>7</v>
      </c>
      <c r="M8" s="20"/>
      <c r="N8" s="21"/>
      <c r="O8" s="20"/>
      <c r="P8" s="20"/>
      <c r="Q8" s="22"/>
    </row>
    <row r="9" customFormat="false" ht="36" hidden="false" customHeight="true" outlineLevel="0" collapsed="false">
      <c r="A9" s="18" t="s">
        <v>110</v>
      </c>
      <c r="B9" s="19" t="s">
        <v>12</v>
      </c>
      <c r="C9" s="19" t="s">
        <v>6</v>
      </c>
      <c r="D9" s="20" t="s">
        <v>111</v>
      </c>
      <c r="E9" s="20" t="s">
        <v>112</v>
      </c>
      <c r="F9" s="20" t="s">
        <v>113</v>
      </c>
      <c r="G9" s="20" t="s">
        <v>114</v>
      </c>
      <c r="H9" s="20" t="s">
        <v>115</v>
      </c>
      <c r="I9" s="20" t="s">
        <v>116</v>
      </c>
      <c r="J9" s="20" t="s">
        <v>117</v>
      </c>
      <c r="K9" s="20"/>
      <c r="L9" s="20" t="s">
        <v>7</v>
      </c>
      <c r="M9" s="20"/>
      <c r="N9" s="21"/>
      <c r="O9" s="20"/>
      <c r="P9" s="20"/>
      <c r="Q9" s="22"/>
    </row>
    <row r="10" customFormat="false" ht="48" hidden="false" customHeight="true" outlineLevel="0" collapsed="false">
      <c r="A10" s="18" t="s">
        <v>118</v>
      </c>
      <c r="B10" s="19" t="s">
        <v>12</v>
      </c>
      <c r="C10" s="19" t="s">
        <v>5</v>
      </c>
      <c r="D10" s="20" t="s">
        <v>119</v>
      </c>
      <c r="E10" s="20" t="s">
        <v>120</v>
      </c>
      <c r="F10" s="20" t="s">
        <v>121</v>
      </c>
      <c r="G10" s="20" t="s">
        <v>122</v>
      </c>
      <c r="H10" s="20" t="s">
        <v>123</v>
      </c>
      <c r="I10" s="20" t="s">
        <v>124</v>
      </c>
      <c r="J10" s="20" t="s">
        <v>125</v>
      </c>
      <c r="K10" s="20"/>
      <c r="L10" s="20" t="s">
        <v>7</v>
      </c>
      <c r="M10" s="20"/>
      <c r="N10" s="21"/>
      <c r="O10" s="20"/>
      <c r="P10" s="20"/>
      <c r="Q10" s="22"/>
    </row>
    <row r="11" customFormat="false" ht="60" hidden="false" customHeight="true" outlineLevel="0" collapsed="false">
      <c r="A11" s="18" t="s">
        <v>126</v>
      </c>
      <c r="B11" s="19" t="s">
        <v>14</v>
      </c>
      <c r="C11" s="19" t="s">
        <v>4</v>
      </c>
      <c r="D11" s="20" t="s">
        <v>127</v>
      </c>
      <c r="E11" s="20" t="s">
        <v>128</v>
      </c>
      <c r="F11" s="20" t="s">
        <v>129</v>
      </c>
      <c r="G11" s="20" t="s">
        <v>130</v>
      </c>
      <c r="H11" s="20" t="s">
        <v>131</v>
      </c>
      <c r="I11" s="20" t="s">
        <v>132</v>
      </c>
      <c r="J11" s="20" t="s">
        <v>133</v>
      </c>
      <c r="K11" s="20"/>
      <c r="L11" s="20" t="s">
        <v>7</v>
      </c>
      <c r="M11" s="20"/>
      <c r="N11" s="21"/>
      <c r="O11" s="20"/>
      <c r="P11" s="20"/>
      <c r="Q11" s="22"/>
    </row>
    <row r="12" customFormat="false" ht="36" hidden="false" customHeight="true" outlineLevel="0" collapsed="false">
      <c r="A12" s="18" t="s">
        <v>134</v>
      </c>
      <c r="B12" s="19" t="s">
        <v>14</v>
      </c>
      <c r="C12" s="19" t="s">
        <v>5</v>
      </c>
      <c r="D12" s="20" t="s">
        <v>135</v>
      </c>
      <c r="E12" s="20" t="s">
        <v>136</v>
      </c>
      <c r="F12" s="20" t="s">
        <v>137</v>
      </c>
      <c r="G12" s="20" t="s">
        <v>138</v>
      </c>
      <c r="H12" s="20" t="s">
        <v>139</v>
      </c>
      <c r="I12" s="20" t="s">
        <v>132</v>
      </c>
      <c r="J12" s="20" t="s">
        <v>140</v>
      </c>
      <c r="K12" s="20"/>
      <c r="L12" s="20" t="s">
        <v>7</v>
      </c>
      <c r="M12" s="20"/>
      <c r="N12" s="21"/>
      <c r="O12" s="20"/>
      <c r="P12" s="20"/>
      <c r="Q12" s="22"/>
    </row>
    <row r="13" customFormat="false" ht="48" hidden="false" customHeight="true" outlineLevel="0" collapsed="false">
      <c r="A13" s="18" t="s">
        <v>141</v>
      </c>
      <c r="B13" s="19" t="s">
        <v>16</v>
      </c>
      <c r="C13" s="19" t="s">
        <v>4</v>
      </c>
      <c r="D13" s="20" t="s">
        <v>142</v>
      </c>
      <c r="E13" s="20" t="s">
        <v>143</v>
      </c>
      <c r="F13" s="20" t="s">
        <v>144</v>
      </c>
      <c r="G13" s="20" t="s">
        <v>145</v>
      </c>
      <c r="H13" s="20" t="s">
        <v>146</v>
      </c>
      <c r="I13" s="20" t="s">
        <v>132</v>
      </c>
      <c r="J13" s="20" t="s">
        <v>147</v>
      </c>
      <c r="K13" s="20"/>
      <c r="L13" s="20" t="s">
        <v>7</v>
      </c>
      <c r="M13" s="20"/>
      <c r="N13" s="21"/>
      <c r="O13" s="20"/>
      <c r="P13" s="20"/>
      <c r="Q13" s="22"/>
    </row>
    <row r="14" customFormat="false" ht="60" hidden="false" customHeight="true" outlineLevel="0" collapsed="false">
      <c r="A14" s="18" t="s">
        <v>148</v>
      </c>
      <c r="B14" s="19" t="s">
        <v>16</v>
      </c>
      <c r="C14" s="19" t="s">
        <v>4</v>
      </c>
      <c r="D14" s="20" t="s">
        <v>149</v>
      </c>
      <c r="E14" s="20" t="s">
        <v>150</v>
      </c>
      <c r="F14" s="20" t="s">
        <v>151</v>
      </c>
      <c r="G14" s="20" t="s">
        <v>152</v>
      </c>
      <c r="H14" s="20" t="s">
        <v>153</v>
      </c>
      <c r="I14" s="20" t="s">
        <v>132</v>
      </c>
      <c r="J14" s="20" t="s">
        <v>154</v>
      </c>
      <c r="K14" s="20"/>
      <c r="L14" s="20" t="s">
        <v>7</v>
      </c>
      <c r="M14" s="20"/>
      <c r="N14" s="21"/>
      <c r="O14" s="20"/>
      <c r="P14" s="20"/>
      <c r="Q14" s="22"/>
    </row>
    <row r="15" customFormat="false" ht="48" hidden="false" customHeight="true" outlineLevel="0" collapsed="false">
      <c r="A15" s="18" t="s">
        <v>155</v>
      </c>
      <c r="B15" s="19" t="s">
        <v>16</v>
      </c>
      <c r="C15" s="19" t="s">
        <v>5</v>
      </c>
      <c r="D15" s="20" t="s">
        <v>156</v>
      </c>
      <c r="E15" s="20" t="s">
        <v>157</v>
      </c>
      <c r="F15" s="20" t="s">
        <v>158</v>
      </c>
      <c r="G15" s="20" t="s">
        <v>159</v>
      </c>
      <c r="H15" s="20" t="s">
        <v>160</v>
      </c>
      <c r="I15" s="20" t="s">
        <v>132</v>
      </c>
      <c r="J15" s="20" t="s">
        <v>161</v>
      </c>
      <c r="K15" s="20"/>
      <c r="L15" s="20" t="s">
        <v>7</v>
      </c>
      <c r="M15" s="20"/>
      <c r="N15" s="21"/>
      <c r="O15" s="20"/>
      <c r="P15" s="20"/>
      <c r="Q15" s="22"/>
    </row>
    <row r="16" customFormat="false" ht="36" hidden="false" customHeight="true" outlineLevel="0" collapsed="false">
      <c r="A16" s="18" t="s">
        <v>162</v>
      </c>
      <c r="B16" s="19" t="s">
        <v>16</v>
      </c>
      <c r="C16" s="19" t="s">
        <v>5</v>
      </c>
      <c r="D16" s="20" t="s">
        <v>163</v>
      </c>
      <c r="E16" s="20" t="s">
        <v>164</v>
      </c>
      <c r="F16" s="20" t="s">
        <v>165</v>
      </c>
      <c r="G16" s="20" t="s">
        <v>166</v>
      </c>
      <c r="H16" s="20" t="s">
        <v>167</v>
      </c>
      <c r="I16" s="20" t="s">
        <v>132</v>
      </c>
      <c r="J16" s="20" t="s">
        <v>168</v>
      </c>
      <c r="K16" s="20"/>
      <c r="L16" s="20" t="s">
        <v>7</v>
      </c>
      <c r="M16" s="20"/>
      <c r="N16" s="21"/>
      <c r="O16" s="20"/>
      <c r="P16" s="20"/>
      <c r="Q16" s="22"/>
    </row>
    <row r="17" customFormat="false" ht="48" hidden="false" customHeight="true" outlineLevel="0" collapsed="false">
      <c r="A17" s="18" t="s">
        <v>169</v>
      </c>
      <c r="B17" s="19" t="s">
        <v>16</v>
      </c>
      <c r="C17" s="19" t="s">
        <v>5</v>
      </c>
      <c r="D17" s="20" t="s">
        <v>170</v>
      </c>
      <c r="E17" s="20" t="s">
        <v>171</v>
      </c>
      <c r="F17" s="20" t="s">
        <v>172</v>
      </c>
      <c r="G17" s="20" t="s">
        <v>173</v>
      </c>
      <c r="H17" s="20" t="s">
        <v>174</v>
      </c>
      <c r="I17" s="20" t="s">
        <v>132</v>
      </c>
      <c r="J17" s="20" t="s">
        <v>175</v>
      </c>
      <c r="K17" s="20"/>
      <c r="L17" s="20" t="s">
        <v>7</v>
      </c>
      <c r="M17" s="20"/>
      <c r="N17" s="21"/>
      <c r="O17" s="20"/>
      <c r="P17" s="20"/>
      <c r="Q17" s="22"/>
    </row>
    <row r="18" customFormat="false" ht="72" hidden="false" customHeight="true" outlineLevel="0" collapsed="false">
      <c r="A18" s="18" t="s">
        <v>176</v>
      </c>
      <c r="B18" s="19" t="s">
        <v>18</v>
      </c>
      <c r="C18" s="19" t="s">
        <v>4</v>
      </c>
      <c r="D18" s="20" t="s">
        <v>177</v>
      </c>
      <c r="E18" s="20" t="s">
        <v>178</v>
      </c>
      <c r="F18" s="20" t="s">
        <v>179</v>
      </c>
      <c r="G18" s="20" t="s">
        <v>180</v>
      </c>
      <c r="H18" s="20" t="s">
        <v>181</v>
      </c>
      <c r="I18" s="20" t="s">
        <v>182</v>
      </c>
      <c r="J18" s="20" t="s">
        <v>183</v>
      </c>
      <c r="K18" s="20"/>
      <c r="L18" s="20" t="s">
        <v>7</v>
      </c>
      <c r="M18" s="20"/>
      <c r="N18" s="21"/>
      <c r="O18" s="20"/>
      <c r="P18" s="20"/>
      <c r="Q18" s="22"/>
    </row>
    <row r="19" customFormat="false" ht="48" hidden="false" customHeight="true" outlineLevel="0" collapsed="false">
      <c r="A19" s="18" t="s">
        <v>184</v>
      </c>
      <c r="B19" s="19" t="s">
        <v>18</v>
      </c>
      <c r="C19" s="19" t="s">
        <v>4</v>
      </c>
      <c r="D19" s="20" t="s">
        <v>185</v>
      </c>
      <c r="E19" s="20" t="s">
        <v>186</v>
      </c>
      <c r="F19" s="20" t="s">
        <v>187</v>
      </c>
      <c r="G19" s="20" t="s">
        <v>188</v>
      </c>
      <c r="H19" s="20" t="s">
        <v>189</v>
      </c>
      <c r="I19" s="20" t="s">
        <v>190</v>
      </c>
      <c r="J19" s="20" t="s">
        <v>191</v>
      </c>
      <c r="K19" s="20"/>
      <c r="L19" s="20" t="s">
        <v>7</v>
      </c>
      <c r="M19" s="20"/>
      <c r="N19" s="21"/>
      <c r="O19" s="20"/>
      <c r="P19" s="20"/>
      <c r="Q19" s="22"/>
    </row>
    <row r="20" customFormat="false" ht="60" hidden="false" customHeight="true" outlineLevel="0" collapsed="false">
      <c r="A20" s="18" t="s">
        <v>192</v>
      </c>
      <c r="B20" s="19" t="s">
        <v>18</v>
      </c>
      <c r="C20" s="19" t="s">
        <v>5</v>
      </c>
      <c r="D20" s="20" t="s">
        <v>193</v>
      </c>
      <c r="E20" s="20" t="s">
        <v>194</v>
      </c>
      <c r="F20" s="20" t="s">
        <v>195</v>
      </c>
      <c r="G20" s="20" t="s">
        <v>196</v>
      </c>
      <c r="H20" s="20" t="s">
        <v>197</v>
      </c>
      <c r="I20" s="20" t="s">
        <v>198</v>
      </c>
      <c r="J20" s="20" t="s">
        <v>199</v>
      </c>
      <c r="K20" s="20"/>
      <c r="L20" s="20" t="s">
        <v>7</v>
      </c>
      <c r="M20" s="20"/>
      <c r="N20" s="21"/>
      <c r="O20" s="20"/>
      <c r="P20" s="20"/>
      <c r="Q20" s="22"/>
    </row>
    <row r="21" customFormat="false" ht="60" hidden="false" customHeight="true" outlineLevel="0" collapsed="false">
      <c r="A21" s="18" t="s">
        <v>200</v>
      </c>
      <c r="B21" s="19" t="s">
        <v>18</v>
      </c>
      <c r="C21" s="19" t="s">
        <v>4</v>
      </c>
      <c r="D21" s="20" t="s">
        <v>201</v>
      </c>
      <c r="E21" s="20" t="s">
        <v>202</v>
      </c>
      <c r="F21" s="20" t="s">
        <v>203</v>
      </c>
      <c r="G21" s="20" t="s">
        <v>204</v>
      </c>
      <c r="H21" s="20" t="s">
        <v>205</v>
      </c>
      <c r="I21" s="20" t="s">
        <v>206</v>
      </c>
      <c r="J21" s="20" t="s">
        <v>207</v>
      </c>
      <c r="K21" s="20"/>
      <c r="L21" s="20" t="s">
        <v>7</v>
      </c>
      <c r="M21" s="20"/>
      <c r="N21" s="21"/>
      <c r="O21" s="20"/>
      <c r="P21" s="20"/>
      <c r="Q21" s="22"/>
    </row>
    <row r="22" customFormat="false" ht="48" hidden="false" customHeight="true" outlineLevel="0" collapsed="false">
      <c r="A22" s="18" t="s">
        <v>208</v>
      </c>
      <c r="B22" s="19" t="s">
        <v>18</v>
      </c>
      <c r="C22" s="19" t="s">
        <v>4</v>
      </c>
      <c r="D22" s="20" t="s">
        <v>209</v>
      </c>
      <c r="E22" s="20" t="s">
        <v>210</v>
      </c>
      <c r="F22" s="20" t="s">
        <v>211</v>
      </c>
      <c r="G22" s="20" t="s">
        <v>212</v>
      </c>
      <c r="H22" s="20" t="s">
        <v>213</v>
      </c>
      <c r="I22" s="20" t="s">
        <v>214</v>
      </c>
      <c r="J22" s="20" t="s">
        <v>215</v>
      </c>
      <c r="K22" s="20"/>
      <c r="L22" s="20" t="s">
        <v>7</v>
      </c>
      <c r="M22" s="20"/>
      <c r="N22" s="21"/>
      <c r="O22" s="20"/>
      <c r="P22" s="20"/>
      <c r="Q22" s="22"/>
    </row>
    <row r="23" customFormat="false" ht="48" hidden="false" customHeight="true" outlineLevel="0" collapsed="false">
      <c r="A23" s="18" t="s">
        <v>216</v>
      </c>
      <c r="B23" s="19" t="s">
        <v>18</v>
      </c>
      <c r="C23" s="19" t="s">
        <v>5</v>
      </c>
      <c r="D23" s="20" t="s">
        <v>217</v>
      </c>
      <c r="E23" s="20" t="s">
        <v>218</v>
      </c>
      <c r="F23" s="20" t="s">
        <v>219</v>
      </c>
      <c r="G23" s="20" t="s">
        <v>220</v>
      </c>
      <c r="H23" s="20" t="s">
        <v>221</v>
      </c>
      <c r="I23" s="20" t="s">
        <v>222</v>
      </c>
      <c r="J23" s="20" t="s">
        <v>223</v>
      </c>
      <c r="K23" s="20"/>
      <c r="L23" s="20" t="s">
        <v>7</v>
      </c>
      <c r="M23" s="20"/>
      <c r="N23" s="21"/>
      <c r="O23" s="20"/>
      <c r="P23" s="20"/>
      <c r="Q23" s="22"/>
    </row>
    <row r="24" customFormat="false" ht="48" hidden="false" customHeight="true" outlineLevel="0" collapsed="false">
      <c r="A24" s="18" t="s">
        <v>224</v>
      </c>
      <c r="B24" s="19" t="s">
        <v>18</v>
      </c>
      <c r="C24" s="19" t="s">
        <v>5</v>
      </c>
      <c r="D24" s="20" t="s">
        <v>225</v>
      </c>
      <c r="E24" s="20" t="s">
        <v>226</v>
      </c>
      <c r="F24" s="20" t="s">
        <v>227</v>
      </c>
      <c r="G24" s="20" t="s">
        <v>228</v>
      </c>
      <c r="H24" s="20" t="s">
        <v>229</v>
      </c>
      <c r="I24" s="20" t="s">
        <v>230</v>
      </c>
      <c r="J24" s="20" t="s">
        <v>199</v>
      </c>
      <c r="K24" s="20"/>
      <c r="L24" s="20" t="s">
        <v>7</v>
      </c>
      <c r="M24" s="20"/>
      <c r="N24" s="21"/>
      <c r="O24" s="20"/>
      <c r="P24" s="20"/>
      <c r="Q24" s="22"/>
    </row>
    <row r="25" customFormat="false" ht="72" hidden="false" customHeight="true" outlineLevel="0" collapsed="false">
      <c r="A25" s="18" t="s">
        <v>231</v>
      </c>
      <c r="B25" s="19" t="s">
        <v>18</v>
      </c>
      <c r="C25" s="19" t="s">
        <v>4</v>
      </c>
      <c r="D25" s="20" t="s">
        <v>232</v>
      </c>
      <c r="E25" s="20" t="s">
        <v>233</v>
      </c>
      <c r="F25" s="20" t="s">
        <v>234</v>
      </c>
      <c r="G25" s="20" t="s">
        <v>235</v>
      </c>
      <c r="H25" s="20" t="s">
        <v>236</v>
      </c>
      <c r="I25" s="20" t="s">
        <v>237</v>
      </c>
      <c r="J25" s="20" t="s">
        <v>238</v>
      </c>
      <c r="K25" s="20"/>
      <c r="L25" s="20" t="s">
        <v>7</v>
      </c>
      <c r="M25" s="20"/>
      <c r="N25" s="21"/>
      <c r="O25" s="20"/>
      <c r="P25" s="20"/>
      <c r="Q25" s="22"/>
    </row>
    <row r="26" customFormat="false" ht="60" hidden="false" customHeight="true" outlineLevel="0" collapsed="false">
      <c r="A26" s="18" t="s">
        <v>239</v>
      </c>
      <c r="B26" s="19" t="s">
        <v>18</v>
      </c>
      <c r="C26" s="19" t="s">
        <v>4</v>
      </c>
      <c r="D26" s="20" t="s">
        <v>240</v>
      </c>
      <c r="E26" s="20" t="s">
        <v>241</v>
      </c>
      <c r="F26" s="20" t="s">
        <v>242</v>
      </c>
      <c r="G26" s="20" t="s">
        <v>243</v>
      </c>
      <c r="H26" s="20" t="s">
        <v>244</v>
      </c>
      <c r="I26" s="20" t="s">
        <v>245</v>
      </c>
      <c r="J26" s="20" t="s">
        <v>246</v>
      </c>
      <c r="K26" s="20"/>
      <c r="L26" s="20" t="s">
        <v>7</v>
      </c>
      <c r="M26" s="20"/>
      <c r="N26" s="21"/>
      <c r="O26" s="20"/>
      <c r="P26" s="20"/>
      <c r="Q26" s="22"/>
    </row>
    <row r="27" customFormat="false" ht="48" hidden="false" customHeight="true" outlineLevel="0" collapsed="false">
      <c r="A27" s="18" t="s">
        <v>247</v>
      </c>
      <c r="B27" s="19" t="s">
        <v>18</v>
      </c>
      <c r="C27" s="19" t="s">
        <v>5</v>
      </c>
      <c r="D27" s="20" t="s">
        <v>248</v>
      </c>
      <c r="E27" s="20" t="s">
        <v>249</v>
      </c>
      <c r="F27" s="20" t="s">
        <v>250</v>
      </c>
      <c r="G27" s="20" t="s">
        <v>251</v>
      </c>
      <c r="H27" s="20" t="s">
        <v>252</v>
      </c>
      <c r="I27" s="20" t="s">
        <v>253</v>
      </c>
      <c r="J27" s="20" t="s">
        <v>254</v>
      </c>
      <c r="K27" s="20"/>
      <c r="L27" s="20" t="s">
        <v>7</v>
      </c>
      <c r="M27" s="20"/>
      <c r="N27" s="21"/>
      <c r="O27" s="20"/>
      <c r="P27" s="20"/>
      <c r="Q27" s="22"/>
    </row>
    <row r="28" customFormat="false" ht="36" hidden="false" customHeight="true" outlineLevel="0" collapsed="false">
      <c r="A28" s="18" t="s">
        <v>255</v>
      </c>
      <c r="B28" s="19" t="s">
        <v>18</v>
      </c>
      <c r="C28" s="19" t="s">
        <v>5</v>
      </c>
      <c r="D28" s="20" t="s">
        <v>256</v>
      </c>
      <c r="E28" s="20" t="s">
        <v>257</v>
      </c>
      <c r="F28" s="20" t="s">
        <v>258</v>
      </c>
      <c r="G28" s="20" t="s">
        <v>259</v>
      </c>
      <c r="H28" s="20" t="s">
        <v>260</v>
      </c>
      <c r="I28" s="20" t="s">
        <v>261</v>
      </c>
      <c r="J28" s="20" t="s">
        <v>262</v>
      </c>
      <c r="K28" s="20"/>
      <c r="L28" s="20" t="s">
        <v>7</v>
      </c>
      <c r="M28" s="20"/>
      <c r="N28" s="21"/>
      <c r="O28" s="20"/>
      <c r="P28" s="20"/>
      <c r="Q28" s="22"/>
    </row>
    <row r="29" customFormat="false" ht="60" hidden="false" customHeight="true" outlineLevel="0" collapsed="false">
      <c r="A29" s="18" t="s">
        <v>263</v>
      </c>
      <c r="B29" s="19" t="s">
        <v>18</v>
      </c>
      <c r="C29" s="19" t="s">
        <v>6</v>
      </c>
      <c r="D29" s="20" t="s">
        <v>264</v>
      </c>
      <c r="E29" s="20" t="s">
        <v>265</v>
      </c>
      <c r="F29" s="20" t="s">
        <v>266</v>
      </c>
      <c r="G29" s="20" t="s">
        <v>267</v>
      </c>
      <c r="H29" s="20" t="s">
        <v>268</v>
      </c>
      <c r="I29" s="20" t="s">
        <v>269</v>
      </c>
      <c r="J29" s="20" t="s">
        <v>270</v>
      </c>
      <c r="K29" s="20"/>
      <c r="L29" s="20" t="s">
        <v>7</v>
      </c>
      <c r="M29" s="20"/>
      <c r="N29" s="21"/>
      <c r="O29" s="20"/>
      <c r="P29" s="20"/>
      <c r="Q29" s="22"/>
    </row>
    <row r="30" customFormat="false" ht="72" hidden="false" customHeight="true" outlineLevel="0" collapsed="false">
      <c r="A30" s="18" t="s">
        <v>271</v>
      </c>
      <c r="B30" s="19" t="s">
        <v>20</v>
      </c>
      <c r="C30" s="19" t="s">
        <v>4</v>
      </c>
      <c r="D30" s="20" t="s">
        <v>272</v>
      </c>
      <c r="E30" s="20" t="s">
        <v>273</v>
      </c>
      <c r="F30" s="20" t="s">
        <v>274</v>
      </c>
      <c r="G30" s="20" t="s">
        <v>275</v>
      </c>
      <c r="H30" s="20" t="s">
        <v>276</v>
      </c>
      <c r="I30" s="20" t="s">
        <v>277</v>
      </c>
      <c r="J30" s="20" t="s">
        <v>278</v>
      </c>
      <c r="K30" s="20"/>
      <c r="L30" s="20" t="s">
        <v>7</v>
      </c>
      <c r="M30" s="20"/>
      <c r="N30" s="21"/>
      <c r="O30" s="20"/>
      <c r="P30" s="20"/>
      <c r="Q30" s="22"/>
    </row>
    <row r="31" customFormat="false" ht="84" hidden="false" customHeight="true" outlineLevel="0" collapsed="false">
      <c r="A31" s="18" t="s">
        <v>279</v>
      </c>
      <c r="B31" s="19" t="s">
        <v>20</v>
      </c>
      <c r="C31" s="19" t="s">
        <v>5</v>
      </c>
      <c r="D31" s="20" t="s">
        <v>280</v>
      </c>
      <c r="E31" s="20" t="s">
        <v>281</v>
      </c>
      <c r="F31" s="20" t="s">
        <v>282</v>
      </c>
      <c r="G31" s="20" t="s">
        <v>283</v>
      </c>
      <c r="H31" s="20" t="s">
        <v>284</v>
      </c>
      <c r="I31" s="20" t="s">
        <v>285</v>
      </c>
      <c r="J31" s="20" t="s">
        <v>286</v>
      </c>
      <c r="K31" s="20"/>
      <c r="L31" s="20" t="s">
        <v>7</v>
      </c>
      <c r="M31" s="20"/>
      <c r="N31" s="21"/>
      <c r="O31" s="20"/>
      <c r="P31" s="20"/>
      <c r="Q31" s="22"/>
    </row>
    <row r="32" customFormat="false" ht="60" hidden="false" customHeight="true" outlineLevel="0" collapsed="false">
      <c r="A32" s="18" t="s">
        <v>287</v>
      </c>
      <c r="B32" s="19" t="s">
        <v>20</v>
      </c>
      <c r="C32" s="19" t="s">
        <v>5</v>
      </c>
      <c r="D32" s="20" t="s">
        <v>288</v>
      </c>
      <c r="E32" s="20" t="s">
        <v>289</v>
      </c>
      <c r="F32" s="20" t="s">
        <v>290</v>
      </c>
      <c r="G32" s="20" t="s">
        <v>291</v>
      </c>
      <c r="H32" s="20" t="s">
        <v>292</v>
      </c>
      <c r="I32" s="20" t="s">
        <v>293</v>
      </c>
      <c r="J32" s="20" t="s">
        <v>294</v>
      </c>
      <c r="K32" s="20"/>
      <c r="L32" s="20" t="s">
        <v>7</v>
      </c>
      <c r="M32" s="20"/>
      <c r="N32" s="21"/>
      <c r="O32" s="20"/>
      <c r="P32" s="20"/>
      <c r="Q32" s="22"/>
    </row>
    <row r="33" customFormat="false" ht="72" hidden="false" customHeight="true" outlineLevel="0" collapsed="false">
      <c r="A33" s="18" t="s">
        <v>295</v>
      </c>
      <c r="B33" s="19" t="s">
        <v>20</v>
      </c>
      <c r="C33" s="19" t="s">
        <v>5</v>
      </c>
      <c r="D33" s="20" t="s">
        <v>296</v>
      </c>
      <c r="E33" s="20" t="s">
        <v>297</v>
      </c>
      <c r="F33" s="20" t="s">
        <v>298</v>
      </c>
      <c r="G33" s="20" t="s">
        <v>299</v>
      </c>
      <c r="H33" s="20" t="s">
        <v>300</v>
      </c>
      <c r="I33" s="20" t="s">
        <v>301</v>
      </c>
      <c r="J33" s="20" t="s">
        <v>302</v>
      </c>
      <c r="K33" s="20"/>
      <c r="L33" s="20" t="s">
        <v>7</v>
      </c>
      <c r="M33" s="20"/>
      <c r="N33" s="21"/>
      <c r="O33" s="20"/>
      <c r="P33" s="20"/>
      <c r="Q33" s="22"/>
    </row>
    <row r="34" customFormat="false" ht="60" hidden="false" customHeight="true" outlineLevel="0" collapsed="false">
      <c r="A34" s="18" t="s">
        <v>303</v>
      </c>
      <c r="B34" s="19" t="s">
        <v>20</v>
      </c>
      <c r="C34" s="19" t="s">
        <v>6</v>
      </c>
      <c r="D34" s="20" t="s">
        <v>304</v>
      </c>
      <c r="E34" s="20" t="s">
        <v>305</v>
      </c>
      <c r="F34" s="20" t="s">
        <v>306</v>
      </c>
      <c r="G34" s="20" t="s">
        <v>307</v>
      </c>
      <c r="H34" s="20" t="s">
        <v>308</v>
      </c>
      <c r="I34" s="20" t="s">
        <v>309</v>
      </c>
      <c r="J34" s="20" t="s">
        <v>310</v>
      </c>
      <c r="K34" s="20"/>
      <c r="L34" s="20" t="s">
        <v>7</v>
      </c>
      <c r="M34" s="20"/>
      <c r="N34" s="21"/>
      <c r="O34" s="20"/>
      <c r="P34" s="20"/>
      <c r="Q34" s="22"/>
    </row>
    <row r="35" customFormat="false" ht="96" hidden="false" customHeight="true" outlineLevel="0" collapsed="false">
      <c r="A35" s="18" t="s">
        <v>311</v>
      </c>
      <c r="B35" s="19" t="s">
        <v>20</v>
      </c>
      <c r="C35" s="19" t="s">
        <v>5</v>
      </c>
      <c r="D35" s="20" t="s">
        <v>312</v>
      </c>
      <c r="E35" s="20" t="s">
        <v>313</v>
      </c>
      <c r="F35" s="20" t="s">
        <v>314</v>
      </c>
      <c r="G35" s="20" t="s">
        <v>315</v>
      </c>
      <c r="H35" s="20" t="s">
        <v>316</v>
      </c>
      <c r="I35" s="20" t="s">
        <v>317</v>
      </c>
      <c r="J35" s="20" t="s">
        <v>318</v>
      </c>
      <c r="K35" s="20"/>
      <c r="L35" s="20" t="s">
        <v>7</v>
      </c>
      <c r="M35" s="20"/>
      <c r="N35" s="21"/>
      <c r="O35" s="20"/>
      <c r="P35" s="20"/>
      <c r="Q35" s="22"/>
    </row>
    <row r="36" customFormat="false" ht="72" hidden="false" customHeight="true" outlineLevel="0" collapsed="false">
      <c r="A36" s="18" t="s">
        <v>319</v>
      </c>
      <c r="B36" s="19" t="s">
        <v>20</v>
      </c>
      <c r="C36" s="19" t="s">
        <v>5</v>
      </c>
      <c r="D36" s="20" t="s">
        <v>320</v>
      </c>
      <c r="E36" s="20" t="s">
        <v>321</v>
      </c>
      <c r="F36" s="20" t="s">
        <v>322</v>
      </c>
      <c r="G36" s="20" t="s">
        <v>323</v>
      </c>
      <c r="H36" s="20" t="s">
        <v>324</v>
      </c>
      <c r="I36" s="20" t="s">
        <v>325</v>
      </c>
      <c r="J36" s="20" t="s">
        <v>326</v>
      </c>
      <c r="K36" s="20"/>
      <c r="L36" s="20" t="s">
        <v>7</v>
      </c>
      <c r="M36" s="20"/>
      <c r="N36" s="21"/>
      <c r="O36" s="20"/>
      <c r="P36" s="20"/>
      <c r="Q36" s="22"/>
    </row>
    <row r="37" customFormat="false" ht="60" hidden="false" customHeight="true" outlineLevel="0" collapsed="false">
      <c r="A37" s="18" t="s">
        <v>327</v>
      </c>
      <c r="B37" s="19" t="s">
        <v>22</v>
      </c>
      <c r="C37" s="19" t="s">
        <v>4</v>
      </c>
      <c r="D37" s="20" t="s">
        <v>328</v>
      </c>
      <c r="E37" s="20" t="s">
        <v>329</v>
      </c>
      <c r="F37" s="20" t="s">
        <v>330</v>
      </c>
      <c r="G37" s="20" t="s">
        <v>331</v>
      </c>
      <c r="H37" s="20" t="s">
        <v>332</v>
      </c>
      <c r="I37" s="20" t="s">
        <v>333</v>
      </c>
      <c r="J37" s="20" t="s">
        <v>334</v>
      </c>
      <c r="K37" s="20"/>
      <c r="L37" s="20" t="s">
        <v>7</v>
      </c>
      <c r="M37" s="20"/>
      <c r="N37" s="21"/>
      <c r="O37" s="20"/>
      <c r="P37" s="20"/>
      <c r="Q37" s="22"/>
    </row>
    <row r="38" customFormat="false" ht="36" hidden="false" customHeight="true" outlineLevel="0" collapsed="false">
      <c r="A38" s="18" t="s">
        <v>335</v>
      </c>
      <c r="B38" s="19" t="s">
        <v>22</v>
      </c>
      <c r="C38" s="19" t="s">
        <v>5</v>
      </c>
      <c r="D38" s="20" t="s">
        <v>336</v>
      </c>
      <c r="E38" s="20" t="s">
        <v>337</v>
      </c>
      <c r="F38" s="20" t="s">
        <v>338</v>
      </c>
      <c r="G38" s="20" t="s">
        <v>339</v>
      </c>
      <c r="H38" s="20" t="s">
        <v>340</v>
      </c>
      <c r="I38" s="20" t="s">
        <v>341</v>
      </c>
      <c r="J38" s="20" t="s">
        <v>342</v>
      </c>
      <c r="K38" s="20"/>
      <c r="L38" s="20" t="s">
        <v>7</v>
      </c>
      <c r="M38" s="20"/>
      <c r="N38" s="21"/>
      <c r="O38" s="20"/>
      <c r="P38" s="20"/>
      <c r="Q38" s="22"/>
    </row>
    <row r="39" customFormat="false" ht="60" hidden="false" customHeight="true" outlineLevel="0" collapsed="false">
      <c r="A39" s="18" t="s">
        <v>343</v>
      </c>
      <c r="B39" s="19" t="s">
        <v>22</v>
      </c>
      <c r="C39" s="19" t="s">
        <v>4</v>
      </c>
      <c r="D39" s="20" t="s">
        <v>344</v>
      </c>
      <c r="E39" s="20" t="s">
        <v>345</v>
      </c>
      <c r="F39" s="20" t="s">
        <v>346</v>
      </c>
      <c r="G39" s="20" t="s">
        <v>347</v>
      </c>
      <c r="H39" s="20" t="s">
        <v>348</v>
      </c>
      <c r="I39" s="20" t="s">
        <v>349</v>
      </c>
      <c r="J39" s="20" t="s">
        <v>350</v>
      </c>
      <c r="K39" s="20"/>
      <c r="L39" s="20" t="s">
        <v>7</v>
      </c>
      <c r="M39" s="20"/>
      <c r="N39" s="21"/>
      <c r="O39" s="20"/>
      <c r="P39" s="20"/>
      <c r="Q39" s="22"/>
    </row>
    <row r="40" customFormat="false" ht="36" hidden="false" customHeight="true" outlineLevel="0" collapsed="false">
      <c r="A40" s="18" t="s">
        <v>351</v>
      </c>
      <c r="B40" s="19" t="s">
        <v>22</v>
      </c>
      <c r="C40" s="19" t="s">
        <v>5</v>
      </c>
      <c r="D40" s="20" t="s">
        <v>352</v>
      </c>
      <c r="E40" s="20" t="s">
        <v>353</v>
      </c>
      <c r="F40" s="20" t="s">
        <v>354</v>
      </c>
      <c r="G40" s="20" t="s">
        <v>355</v>
      </c>
      <c r="H40" s="20" t="s">
        <v>356</v>
      </c>
      <c r="I40" s="20" t="s">
        <v>357</v>
      </c>
      <c r="J40" s="20" t="s">
        <v>358</v>
      </c>
      <c r="K40" s="20"/>
      <c r="L40" s="20" t="s">
        <v>7</v>
      </c>
      <c r="M40" s="20"/>
      <c r="N40" s="21"/>
      <c r="O40" s="20"/>
      <c r="P40" s="20"/>
      <c r="Q40" s="22"/>
    </row>
    <row r="41" customFormat="false" ht="48" hidden="false" customHeight="true" outlineLevel="0" collapsed="false">
      <c r="A41" s="18" t="s">
        <v>359</v>
      </c>
      <c r="B41" s="19" t="s">
        <v>22</v>
      </c>
      <c r="C41" s="19" t="s">
        <v>4</v>
      </c>
      <c r="D41" s="20" t="s">
        <v>360</v>
      </c>
      <c r="E41" s="20" t="s">
        <v>361</v>
      </c>
      <c r="F41" s="20" t="s">
        <v>362</v>
      </c>
      <c r="G41" s="20" t="s">
        <v>363</v>
      </c>
      <c r="H41" s="20" t="s">
        <v>364</v>
      </c>
      <c r="I41" s="20" t="s">
        <v>365</v>
      </c>
      <c r="J41" s="20" t="s">
        <v>366</v>
      </c>
      <c r="K41" s="20"/>
      <c r="L41" s="20" t="s">
        <v>7</v>
      </c>
      <c r="M41" s="20"/>
      <c r="N41" s="21"/>
      <c r="O41" s="20"/>
      <c r="P41" s="20"/>
      <c r="Q41" s="22"/>
    </row>
    <row r="42" customFormat="false" ht="60" hidden="false" customHeight="true" outlineLevel="0" collapsed="false">
      <c r="A42" s="18" t="s">
        <v>367</v>
      </c>
      <c r="B42" s="19" t="s">
        <v>22</v>
      </c>
      <c r="C42" s="19" t="s">
        <v>4</v>
      </c>
      <c r="D42" s="20" t="s">
        <v>368</v>
      </c>
      <c r="E42" s="20" t="s">
        <v>369</v>
      </c>
      <c r="F42" s="20" t="s">
        <v>370</v>
      </c>
      <c r="G42" s="20" t="s">
        <v>371</v>
      </c>
      <c r="H42" s="20" t="s">
        <v>372</v>
      </c>
      <c r="I42" s="20" t="s">
        <v>373</v>
      </c>
      <c r="J42" s="20" t="s">
        <v>374</v>
      </c>
      <c r="K42" s="20"/>
      <c r="L42" s="20" t="s">
        <v>7</v>
      </c>
      <c r="M42" s="20"/>
      <c r="N42" s="21"/>
      <c r="O42" s="20"/>
      <c r="P42" s="20"/>
      <c r="Q42" s="22"/>
    </row>
    <row r="43" customFormat="false" ht="60" hidden="false" customHeight="true" outlineLevel="0" collapsed="false">
      <c r="A43" s="18" t="s">
        <v>375</v>
      </c>
      <c r="B43" s="19" t="s">
        <v>22</v>
      </c>
      <c r="C43" s="19" t="s">
        <v>4</v>
      </c>
      <c r="D43" s="20" t="s">
        <v>376</v>
      </c>
      <c r="E43" s="20" t="s">
        <v>377</v>
      </c>
      <c r="F43" s="20" t="s">
        <v>378</v>
      </c>
      <c r="G43" s="20" t="s">
        <v>379</v>
      </c>
      <c r="H43" s="20" t="s">
        <v>380</v>
      </c>
      <c r="I43" s="20" t="s">
        <v>381</v>
      </c>
      <c r="J43" s="20" t="s">
        <v>382</v>
      </c>
      <c r="K43" s="20"/>
      <c r="L43" s="20" t="s">
        <v>7</v>
      </c>
      <c r="M43" s="20"/>
      <c r="N43" s="21"/>
      <c r="O43" s="20"/>
      <c r="P43" s="20"/>
      <c r="Q43" s="22"/>
    </row>
    <row r="44" customFormat="false" ht="36" hidden="false" customHeight="true" outlineLevel="0" collapsed="false">
      <c r="A44" s="18" t="s">
        <v>383</v>
      </c>
      <c r="B44" s="19" t="s">
        <v>22</v>
      </c>
      <c r="C44" s="19" t="s">
        <v>4</v>
      </c>
      <c r="D44" s="20" t="s">
        <v>384</v>
      </c>
      <c r="E44" s="20" t="s">
        <v>385</v>
      </c>
      <c r="F44" s="20" t="s">
        <v>386</v>
      </c>
      <c r="G44" s="20" t="s">
        <v>387</v>
      </c>
      <c r="H44" s="20" t="s">
        <v>388</v>
      </c>
      <c r="I44" s="20" t="s">
        <v>389</v>
      </c>
      <c r="J44" s="20" t="s">
        <v>390</v>
      </c>
      <c r="K44" s="20"/>
      <c r="L44" s="20" t="s">
        <v>7</v>
      </c>
      <c r="M44" s="20"/>
      <c r="N44" s="21"/>
      <c r="O44" s="20"/>
      <c r="P44" s="20"/>
      <c r="Q44" s="22"/>
    </row>
    <row r="45" customFormat="false" ht="60" hidden="false" customHeight="true" outlineLevel="0" collapsed="false">
      <c r="A45" s="18" t="s">
        <v>391</v>
      </c>
      <c r="B45" s="19" t="s">
        <v>22</v>
      </c>
      <c r="C45" s="19" t="s">
        <v>4</v>
      </c>
      <c r="D45" s="20" t="s">
        <v>392</v>
      </c>
      <c r="E45" s="20" t="s">
        <v>393</v>
      </c>
      <c r="F45" s="20" t="s">
        <v>394</v>
      </c>
      <c r="G45" s="20" t="s">
        <v>395</v>
      </c>
      <c r="H45" s="20" t="s">
        <v>396</v>
      </c>
      <c r="I45" s="20" t="s">
        <v>397</v>
      </c>
      <c r="J45" s="20" t="s">
        <v>398</v>
      </c>
      <c r="K45" s="20"/>
      <c r="L45" s="20" t="s">
        <v>7</v>
      </c>
      <c r="M45" s="20"/>
      <c r="N45" s="21"/>
      <c r="O45" s="20"/>
      <c r="P45" s="20"/>
      <c r="Q45" s="22"/>
    </row>
    <row r="46" customFormat="false" ht="60" hidden="false" customHeight="true" outlineLevel="0" collapsed="false">
      <c r="A46" s="18" t="s">
        <v>399</v>
      </c>
      <c r="B46" s="19" t="s">
        <v>22</v>
      </c>
      <c r="C46" s="19" t="s">
        <v>5</v>
      </c>
      <c r="D46" s="20" t="s">
        <v>400</v>
      </c>
      <c r="E46" s="20" t="s">
        <v>401</v>
      </c>
      <c r="F46" s="20" t="s">
        <v>402</v>
      </c>
      <c r="G46" s="20" t="s">
        <v>403</v>
      </c>
      <c r="H46" s="20" t="s">
        <v>404</v>
      </c>
      <c r="I46" s="20" t="s">
        <v>405</v>
      </c>
      <c r="J46" s="20" t="s">
        <v>406</v>
      </c>
      <c r="K46" s="20"/>
      <c r="L46" s="20" t="s">
        <v>7</v>
      </c>
      <c r="M46" s="20"/>
      <c r="N46" s="21"/>
      <c r="O46" s="20"/>
      <c r="P46" s="20"/>
      <c r="Q46" s="22"/>
    </row>
    <row r="47" customFormat="false" ht="72" hidden="false" customHeight="true" outlineLevel="0" collapsed="false">
      <c r="A47" s="18" t="s">
        <v>407</v>
      </c>
      <c r="B47" s="19" t="s">
        <v>22</v>
      </c>
      <c r="C47" s="19" t="s">
        <v>5</v>
      </c>
      <c r="D47" s="20" t="s">
        <v>408</v>
      </c>
      <c r="E47" s="20" t="s">
        <v>409</v>
      </c>
      <c r="F47" s="20" t="s">
        <v>410</v>
      </c>
      <c r="G47" s="20" t="s">
        <v>411</v>
      </c>
      <c r="H47" s="20" t="s">
        <v>412</v>
      </c>
      <c r="I47" s="20" t="s">
        <v>413</v>
      </c>
      <c r="J47" s="20" t="s">
        <v>414</v>
      </c>
      <c r="K47" s="20"/>
      <c r="L47" s="20" t="s">
        <v>7</v>
      </c>
      <c r="M47" s="20"/>
      <c r="N47" s="21"/>
      <c r="O47" s="20"/>
      <c r="P47" s="20"/>
      <c r="Q47" s="22"/>
    </row>
    <row r="48" customFormat="false" ht="48" hidden="false" customHeight="true" outlineLevel="0" collapsed="false">
      <c r="A48" s="18" t="s">
        <v>415</v>
      </c>
      <c r="B48" s="19" t="s">
        <v>22</v>
      </c>
      <c r="C48" s="19" t="s">
        <v>6</v>
      </c>
      <c r="D48" s="20" t="s">
        <v>416</v>
      </c>
      <c r="E48" s="20" t="s">
        <v>417</v>
      </c>
      <c r="F48" s="20" t="s">
        <v>418</v>
      </c>
      <c r="G48" s="20" t="s">
        <v>419</v>
      </c>
      <c r="H48" s="20" t="s">
        <v>420</v>
      </c>
      <c r="I48" s="20" t="s">
        <v>421</v>
      </c>
      <c r="J48" s="20" t="s">
        <v>422</v>
      </c>
      <c r="K48" s="20"/>
      <c r="L48" s="20" t="s">
        <v>7</v>
      </c>
      <c r="M48" s="20"/>
      <c r="N48" s="21"/>
      <c r="O48" s="20"/>
      <c r="P48" s="20"/>
      <c r="Q48" s="22"/>
    </row>
    <row r="49" customFormat="false" ht="48" hidden="false" customHeight="true" outlineLevel="0" collapsed="false">
      <c r="A49" s="18" t="s">
        <v>423</v>
      </c>
      <c r="B49" s="19" t="s">
        <v>23</v>
      </c>
      <c r="C49" s="19" t="s">
        <v>4</v>
      </c>
      <c r="D49" s="20" t="s">
        <v>424</v>
      </c>
      <c r="E49" s="20" t="s">
        <v>425</v>
      </c>
      <c r="F49" s="20" t="s">
        <v>426</v>
      </c>
      <c r="G49" s="20" t="s">
        <v>427</v>
      </c>
      <c r="H49" s="20" t="s">
        <v>428</v>
      </c>
      <c r="I49" s="20" t="s">
        <v>429</v>
      </c>
      <c r="J49" s="20" t="s">
        <v>430</v>
      </c>
      <c r="K49" s="20"/>
      <c r="L49" s="20" t="s">
        <v>7</v>
      </c>
      <c r="M49" s="20"/>
      <c r="N49" s="21"/>
      <c r="O49" s="20"/>
      <c r="P49" s="20"/>
      <c r="Q49" s="22"/>
    </row>
    <row r="50" customFormat="false" ht="48" hidden="false" customHeight="true" outlineLevel="0" collapsed="false">
      <c r="A50" s="18" t="s">
        <v>431</v>
      </c>
      <c r="B50" s="19" t="s">
        <v>23</v>
      </c>
      <c r="C50" s="19" t="s">
        <v>4</v>
      </c>
      <c r="D50" s="20" t="s">
        <v>432</v>
      </c>
      <c r="E50" s="20" t="s">
        <v>433</v>
      </c>
      <c r="F50" s="20" t="s">
        <v>434</v>
      </c>
      <c r="G50" s="20" t="s">
        <v>435</v>
      </c>
      <c r="H50" s="20" t="s">
        <v>436</v>
      </c>
      <c r="I50" s="20" t="s">
        <v>437</v>
      </c>
      <c r="J50" s="20" t="s">
        <v>438</v>
      </c>
      <c r="K50" s="20"/>
      <c r="L50" s="20" t="s">
        <v>7</v>
      </c>
      <c r="M50" s="20"/>
      <c r="N50" s="21"/>
      <c r="O50" s="20"/>
      <c r="P50" s="20"/>
      <c r="Q50" s="22"/>
    </row>
    <row r="51" customFormat="false" ht="60" hidden="false" customHeight="true" outlineLevel="0" collapsed="false">
      <c r="A51" s="18" t="s">
        <v>439</v>
      </c>
      <c r="B51" s="19" t="s">
        <v>23</v>
      </c>
      <c r="C51" s="19" t="s">
        <v>4</v>
      </c>
      <c r="D51" s="20" t="s">
        <v>440</v>
      </c>
      <c r="E51" s="20" t="s">
        <v>441</v>
      </c>
      <c r="F51" s="20" t="s">
        <v>442</v>
      </c>
      <c r="G51" s="20" t="s">
        <v>443</v>
      </c>
      <c r="H51" s="20" t="s">
        <v>444</v>
      </c>
      <c r="I51" s="20" t="s">
        <v>445</v>
      </c>
      <c r="J51" s="20" t="s">
        <v>446</v>
      </c>
      <c r="K51" s="20"/>
      <c r="L51" s="20" t="s">
        <v>7</v>
      </c>
      <c r="M51" s="20"/>
      <c r="N51" s="21"/>
      <c r="O51" s="20"/>
      <c r="P51" s="20"/>
      <c r="Q51" s="22"/>
    </row>
    <row r="52" customFormat="false" ht="36" hidden="false" customHeight="true" outlineLevel="0" collapsed="false">
      <c r="A52" s="18" t="s">
        <v>447</v>
      </c>
      <c r="B52" s="19" t="s">
        <v>23</v>
      </c>
      <c r="C52" s="19" t="s">
        <v>4</v>
      </c>
      <c r="D52" s="20" t="s">
        <v>448</v>
      </c>
      <c r="E52" s="20" t="s">
        <v>449</v>
      </c>
      <c r="F52" s="20" t="s">
        <v>450</v>
      </c>
      <c r="G52" s="20" t="s">
        <v>451</v>
      </c>
      <c r="H52" s="20" t="s">
        <v>452</v>
      </c>
      <c r="I52" s="20" t="s">
        <v>453</v>
      </c>
      <c r="J52" s="20" t="s">
        <v>454</v>
      </c>
      <c r="K52" s="20"/>
      <c r="L52" s="20" t="s">
        <v>7</v>
      </c>
      <c r="M52" s="20"/>
      <c r="N52" s="21"/>
      <c r="O52" s="20"/>
      <c r="P52" s="20"/>
      <c r="Q52" s="22"/>
    </row>
    <row r="53" customFormat="false" ht="84" hidden="false" customHeight="true" outlineLevel="0" collapsed="false">
      <c r="A53" s="18" t="s">
        <v>455</v>
      </c>
      <c r="B53" s="19" t="s">
        <v>23</v>
      </c>
      <c r="C53" s="19" t="s">
        <v>4</v>
      </c>
      <c r="D53" s="20" t="s">
        <v>456</v>
      </c>
      <c r="E53" s="20" t="s">
        <v>457</v>
      </c>
      <c r="F53" s="20" t="s">
        <v>458</v>
      </c>
      <c r="G53" s="20" t="s">
        <v>459</v>
      </c>
      <c r="H53" s="20" t="s">
        <v>460</v>
      </c>
      <c r="I53" s="20" t="s">
        <v>461</v>
      </c>
      <c r="J53" s="20" t="s">
        <v>462</v>
      </c>
      <c r="K53" s="20"/>
      <c r="L53" s="20" t="s">
        <v>7</v>
      </c>
      <c r="M53" s="20"/>
      <c r="N53" s="21"/>
      <c r="O53" s="20"/>
      <c r="P53" s="20"/>
      <c r="Q53" s="22"/>
    </row>
    <row r="54" customFormat="false" ht="60" hidden="false" customHeight="true" outlineLevel="0" collapsed="false">
      <c r="A54" s="18" t="s">
        <v>463</v>
      </c>
      <c r="B54" s="19" t="s">
        <v>23</v>
      </c>
      <c r="C54" s="19" t="s">
        <v>4</v>
      </c>
      <c r="D54" s="20" t="s">
        <v>464</v>
      </c>
      <c r="E54" s="20" t="s">
        <v>465</v>
      </c>
      <c r="F54" s="20" t="s">
        <v>466</v>
      </c>
      <c r="G54" s="20" t="s">
        <v>467</v>
      </c>
      <c r="H54" s="20" t="s">
        <v>468</v>
      </c>
      <c r="I54" s="20" t="s">
        <v>469</v>
      </c>
      <c r="J54" s="20" t="s">
        <v>470</v>
      </c>
      <c r="K54" s="20"/>
      <c r="L54" s="20" t="s">
        <v>7</v>
      </c>
      <c r="M54" s="20"/>
      <c r="N54" s="21"/>
      <c r="O54" s="20"/>
      <c r="P54" s="20"/>
      <c r="Q54" s="22"/>
    </row>
    <row r="55" customFormat="false" ht="48" hidden="false" customHeight="true" outlineLevel="0" collapsed="false">
      <c r="A55" s="18" t="s">
        <v>471</v>
      </c>
      <c r="B55" s="19" t="s">
        <v>23</v>
      </c>
      <c r="C55" s="19" t="s">
        <v>4</v>
      </c>
      <c r="D55" s="20" t="s">
        <v>472</v>
      </c>
      <c r="E55" s="20" t="s">
        <v>473</v>
      </c>
      <c r="F55" s="20" t="s">
        <v>474</v>
      </c>
      <c r="G55" s="20" t="s">
        <v>475</v>
      </c>
      <c r="H55" s="20" t="s">
        <v>476</v>
      </c>
      <c r="I55" s="20" t="s">
        <v>477</v>
      </c>
      <c r="J55" s="20" t="s">
        <v>478</v>
      </c>
      <c r="K55" s="20"/>
      <c r="L55" s="20" t="s">
        <v>7</v>
      </c>
      <c r="M55" s="20"/>
      <c r="N55" s="21"/>
      <c r="O55" s="20"/>
      <c r="P55" s="20"/>
      <c r="Q55" s="22"/>
    </row>
    <row r="56" customFormat="false" ht="48" hidden="false" customHeight="true" outlineLevel="0" collapsed="false">
      <c r="A56" s="18" t="s">
        <v>479</v>
      </c>
      <c r="B56" s="19" t="s">
        <v>23</v>
      </c>
      <c r="C56" s="19" t="s">
        <v>6</v>
      </c>
      <c r="D56" s="20" t="s">
        <v>480</v>
      </c>
      <c r="E56" s="20" t="s">
        <v>481</v>
      </c>
      <c r="F56" s="20" t="s">
        <v>482</v>
      </c>
      <c r="G56" s="20" t="s">
        <v>483</v>
      </c>
      <c r="H56" s="20" t="s">
        <v>484</v>
      </c>
      <c r="I56" s="20" t="s">
        <v>485</v>
      </c>
      <c r="J56" s="20" t="s">
        <v>486</v>
      </c>
      <c r="K56" s="20"/>
      <c r="L56" s="20" t="s">
        <v>7</v>
      </c>
      <c r="M56" s="20"/>
      <c r="N56" s="21"/>
      <c r="O56" s="20"/>
      <c r="P56" s="20"/>
      <c r="Q56" s="22"/>
    </row>
    <row r="57" customFormat="false" ht="72" hidden="false" customHeight="true" outlineLevel="0" collapsed="false">
      <c r="A57" s="18" t="s">
        <v>487</v>
      </c>
      <c r="B57" s="19" t="s">
        <v>24</v>
      </c>
      <c r="C57" s="19" t="s">
        <v>4</v>
      </c>
      <c r="D57" s="20" t="s">
        <v>488</v>
      </c>
      <c r="E57" s="20" t="s">
        <v>489</v>
      </c>
      <c r="F57" s="20" t="s">
        <v>490</v>
      </c>
      <c r="G57" s="20" t="s">
        <v>491</v>
      </c>
      <c r="H57" s="20" t="s">
        <v>492</v>
      </c>
      <c r="I57" s="20" t="s">
        <v>493</v>
      </c>
      <c r="J57" s="20" t="s">
        <v>494</v>
      </c>
      <c r="K57" s="20"/>
      <c r="L57" s="20" t="s">
        <v>7</v>
      </c>
      <c r="M57" s="20"/>
      <c r="N57" s="21"/>
      <c r="O57" s="20"/>
      <c r="P57" s="20"/>
      <c r="Q57" s="22"/>
    </row>
    <row r="58" customFormat="false" ht="60" hidden="false" customHeight="true" outlineLevel="0" collapsed="false">
      <c r="A58" s="18" t="s">
        <v>495</v>
      </c>
      <c r="B58" s="19" t="s">
        <v>24</v>
      </c>
      <c r="C58" s="19" t="s">
        <v>4</v>
      </c>
      <c r="D58" s="20" t="s">
        <v>496</v>
      </c>
      <c r="E58" s="20" t="s">
        <v>497</v>
      </c>
      <c r="F58" s="20" t="s">
        <v>498</v>
      </c>
      <c r="G58" s="20" t="s">
        <v>499</v>
      </c>
      <c r="H58" s="20" t="s">
        <v>500</v>
      </c>
      <c r="I58" s="20" t="s">
        <v>501</v>
      </c>
      <c r="J58" s="20" t="s">
        <v>502</v>
      </c>
      <c r="K58" s="20"/>
      <c r="L58" s="20" t="s">
        <v>7</v>
      </c>
      <c r="M58" s="20"/>
      <c r="N58" s="21"/>
      <c r="O58" s="20"/>
      <c r="P58" s="20"/>
      <c r="Q58" s="22"/>
    </row>
    <row r="59" customFormat="false" ht="60" hidden="false" customHeight="true" outlineLevel="0" collapsed="false">
      <c r="A59" s="18" t="s">
        <v>503</v>
      </c>
      <c r="B59" s="19" t="s">
        <v>24</v>
      </c>
      <c r="C59" s="19" t="s">
        <v>5</v>
      </c>
      <c r="D59" s="20" t="s">
        <v>504</v>
      </c>
      <c r="E59" s="20" t="s">
        <v>505</v>
      </c>
      <c r="F59" s="20" t="s">
        <v>506</v>
      </c>
      <c r="G59" s="20" t="s">
        <v>507</v>
      </c>
      <c r="H59" s="20" t="s">
        <v>508</v>
      </c>
      <c r="I59" s="20" t="s">
        <v>509</v>
      </c>
      <c r="J59" s="20" t="s">
        <v>326</v>
      </c>
      <c r="K59" s="20"/>
      <c r="L59" s="20" t="s">
        <v>7</v>
      </c>
      <c r="M59" s="20"/>
      <c r="N59" s="21"/>
      <c r="O59" s="20"/>
      <c r="P59" s="20"/>
      <c r="Q59" s="22"/>
    </row>
    <row r="60" customFormat="false" ht="48" hidden="false" customHeight="true" outlineLevel="0" collapsed="false">
      <c r="A60" s="18" t="s">
        <v>510</v>
      </c>
      <c r="B60" s="19" t="s">
        <v>24</v>
      </c>
      <c r="C60" s="19" t="s">
        <v>5</v>
      </c>
      <c r="D60" s="20" t="s">
        <v>511</v>
      </c>
      <c r="E60" s="20" t="s">
        <v>512</v>
      </c>
      <c r="F60" s="20" t="s">
        <v>513</v>
      </c>
      <c r="G60" s="20" t="s">
        <v>514</v>
      </c>
      <c r="H60" s="20" t="s">
        <v>515</v>
      </c>
      <c r="I60" s="20" t="s">
        <v>516</v>
      </c>
      <c r="J60" s="20" t="s">
        <v>517</v>
      </c>
      <c r="K60" s="20"/>
      <c r="L60" s="20" t="s">
        <v>7</v>
      </c>
      <c r="M60" s="20"/>
      <c r="N60" s="21"/>
      <c r="O60" s="20"/>
      <c r="P60" s="20"/>
      <c r="Q60" s="22"/>
    </row>
    <row r="61" customFormat="false" ht="72" hidden="false" customHeight="true" outlineLevel="0" collapsed="false">
      <c r="A61" s="18" t="s">
        <v>518</v>
      </c>
      <c r="B61" s="19" t="s">
        <v>24</v>
      </c>
      <c r="C61" s="19" t="s">
        <v>6</v>
      </c>
      <c r="D61" s="20" t="s">
        <v>519</v>
      </c>
      <c r="E61" s="20" t="s">
        <v>520</v>
      </c>
      <c r="F61" s="20" t="s">
        <v>521</v>
      </c>
      <c r="G61" s="20" t="s">
        <v>522</v>
      </c>
      <c r="H61" s="20" t="s">
        <v>523</v>
      </c>
      <c r="I61" s="20" t="s">
        <v>524</v>
      </c>
      <c r="J61" s="20" t="s">
        <v>525</v>
      </c>
      <c r="K61" s="20"/>
      <c r="L61" s="20" t="s">
        <v>7</v>
      </c>
      <c r="M61" s="20"/>
      <c r="N61" s="21"/>
      <c r="O61" s="20"/>
      <c r="P61" s="20"/>
      <c r="Q61" s="22"/>
    </row>
    <row r="62" customFormat="false" ht="36" hidden="false" customHeight="true" outlineLevel="0" collapsed="false">
      <c r="A62" s="23" t="s">
        <v>526</v>
      </c>
      <c r="B62" s="24" t="s">
        <v>24</v>
      </c>
      <c r="C62" s="24" t="s">
        <v>6</v>
      </c>
      <c r="D62" s="25" t="s">
        <v>527</v>
      </c>
      <c r="E62" s="25" t="s">
        <v>528</v>
      </c>
      <c r="F62" s="25" t="s">
        <v>529</v>
      </c>
      <c r="G62" s="25" t="s">
        <v>530</v>
      </c>
      <c r="H62" s="25" t="s">
        <v>531</v>
      </c>
      <c r="I62" s="25" t="s">
        <v>532</v>
      </c>
      <c r="J62" s="25" t="s">
        <v>533</v>
      </c>
      <c r="K62" s="25"/>
      <c r="L62" s="25" t="s">
        <v>7</v>
      </c>
      <c r="M62" s="25"/>
      <c r="N62" s="26"/>
      <c r="O62" s="25"/>
      <c r="P62" s="25"/>
      <c r="Q62" s="27"/>
    </row>
  </sheetData>
  <conditionalFormatting sqref="L2:L62">
    <cfRule type="containsText" priority="2" operator="containsText" aboveAverage="0" equalAverage="0" bottom="0" percent="0" rank="0" text="Aprobado" dxfId="4">
      <formula>NOT(ISERROR(SEARCH("Aprobado",L2)))</formula>
    </cfRule>
    <cfRule type="containsText" priority="3" operator="containsText" aboveAverage="0" equalAverage="0" bottom="0" percent="0" rank="0" text="Fallido" dxfId="5">
      <formula>NOT(ISERROR(SEARCH("Fallido",L2)))</formula>
    </cfRule>
    <cfRule type="containsText" priority="4" operator="containsText" aboveAverage="0" equalAverage="0" bottom="0" percent="0" rank="0" text="Bloqueado" dxfId="6">
      <formula>NOT(ISERROR(SEARCH("Bloqueado",L2)))</formula>
    </cfRule>
  </conditionalFormatting>
  <dataValidations count="3">
    <dataValidation allowBlank="false" errorStyle="stop" operator="between" showDropDown="false" showErrorMessage="false" showInputMessage="false" sqref="L2:L62" type="list">
      <formula1>"Sin iniciar,Aprobado,Fallido,Bloqueado,N/A"</formula1>
      <formula2>0</formula2>
    </dataValidation>
    <dataValidation allowBlank="false" errorStyle="stop" operator="between" showDropDown="false" showErrorMessage="false" showInputMessage="false" sqref="B2:B62" type="list">
      <formula1>"Pagos,Balance,Deuda,Órdenes a crédito,Config crédito,Facturas,Cancelaciones,Reportes"</formula1>
      <formula2>0</formula2>
    </dataValidation>
    <dataValidation allowBlank="false" errorStyle="stop" operator="between" showDropDown="false" showErrorMessage="false" showInputMessage="false" sqref="C2:C62" type="list">
      <formula1>"P0,P1,P2"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5.56"/>
    <col collapsed="false" customWidth="true" hidden="false" outlineLevel="0" max="3" min="3" style="0" width="47.79"/>
    <col collapsed="false" customWidth="true" hidden="false" outlineLevel="0" max="4" min="4" style="0" width="26.67"/>
    <col collapsed="false" customWidth="true" hidden="false" outlineLevel="0" max="5" min="5" style="0" width="36.67"/>
  </cols>
  <sheetData>
    <row r="1" customFormat="false" ht="15" hidden="false" customHeight="true" outlineLevel="0" collapsed="false">
      <c r="A1" s="15" t="s">
        <v>534</v>
      </c>
      <c r="B1" s="16" t="s">
        <v>535</v>
      </c>
      <c r="C1" s="16" t="s">
        <v>536</v>
      </c>
      <c r="D1" s="16" t="s">
        <v>537</v>
      </c>
      <c r="E1" s="17" t="s">
        <v>538</v>
      </c>
    </row>
    <row r="2" customFormat="false" ht="24" hidden="false" customHeight="true" outlineLevel="0" collapsed="false">
      <c r="A2" s="28" t="s">
        <v>539</v>
      </c>
      <c r="B2" s="20" t="s">
        <v>540</v>
      </c>
      <c r="C2" s="20" t="s">
        <v>541</v>
      </c>
      <c r="D2" s="20" t="s">
        <v>542</v>
      </c>
      <c r="E2" s="29" t="s">
        <v>543</v>
      </c>
    </row>
    <row r="3" customFormat="false" ht="24" hidden="false" customHeight="true" outlineLevel="0" collapsed="false">
      <c r="A3" s="28" t="s">
        <v>544</v>
      </c>
      <c r="B3" s="20" t="s">
        <v>545</v>
      </c>
      <c r="C3" s="20" t="s">
        <v>546</v>
      </c>
      <c r="D3" s="20" t="s">
        <v>547</v>
      </c>
      <c r="E3" s="29" t="s">
        <v>548</v>
      </c>
    </row>
    <row r="4" customFormat="false" ht="24" hidden="false" customHeight="true" outlineLevel="0" collapsed="false">
      <c r="A4" s="28" t="s">
        <v>549</v>
      </c>
      <c r="B4" s="20" t="s">
        <v>550</v>
      </c>
      <c r="C4" s="20" t="s">
        <v>551</v>
      </c>
      <c r="D4" s="20" t="s">
        <v>552</v>
      </c>
      <c r="E4" s="29" t="s">
        <v>553</v>
      </c>
    </row>
    <row r="5" customFormat="false" ht="24" hidden="false" customHeight="true" outlineLevel="0" collapsed="false">
      <c r="A5" s="28" t="s">
        <v>554</v>
      </c>
      <c r="B5" s="20" t="s">
        <v>555</v>
      </c>
      <c r="C5" s="20" t="s">
        <v>556</v>
      </c>
      <c r="D5" s="20" t="s">
        <v>557</v>
      </c>
      <c r="E5" s="29" t="s">
        <v>558</v>
      </c>
    </row>
    <row r="6" customFormat="false" ht="24" hidden="false" customHeight="true" outlineLevel="0" collapsed="false">
      <c r="A6" s="28" t="s">
        <v>559</v>
      </c>
      <c r="B6" s="20" t="s">
        <v>560</v>
      </c>
      <c r="C6" s="20" t="s">
        <v>561</v>
      </c>
      <c r="D6" s="20" t="s">
        <v>562</v>
      </c>
      <c r="E6" s="29" t="s">
        <v>563</v>
      </c>
    </row>
    <row r="7" customFormat="false" ht="24" hidden="false" customHeight="true" outlineLevel="0" collapsed="false">
      <c r="A7" s="28" t="s">
        <v>564</v>
      </c>
      <c r="B7" s="20" t="s">
        <v>565</v>
      </c>
      <c r="C7" s="20" t="s">
        <v>566</v>
      </c>
      <c r="D7" s="20" t="s">
        <v>567</v>
      </c>
      <c r="E7" s="29" t="s">
        <v>568</v>
      </c>
    </row>
    <row r="8" customFormat="false" ht="24" hidden="false" customHeight="true" outlineLevel="0" collapsed="false">
      <c r="A8" s="28" t="s">
        <v>569</v>
      </c>
      <c r="B8" s="20" t="s">
        <v>570</v>
      </c>
      <c r="C8" s="20" t="s">
        <v>571</v>
      </c>
      <c r="D8" s="20" t="s">
        <v>572</v>
      </c>
      <c r="E8" s="29" t="s">
        <v>573</v>
      </c>
    </row>
    <row r="9" customFormat="false" ht="24" hidden="false" customHeight="true" outlineLevel="0" collapsed="false">
      <c r="A9" s="28" t="s">
        <v>574</v>
      </c>
      <c r="B9" s="20" t="s">
        <v>575</v>
      </c>
      <c r="C9" s="20" t="s">
        <v>576</v>
      </c>
      <c r="D9" s="20" t="s">
        <v>577</v>
      </c>
      <c r="E9" s="29" t="s">
        <v>578</v>
      </c>
    </row>
    <row r="10" customFormat="false" ht="24" hidden="false" customHeight="true" outlineLevel="0" collapsed="false">
      <c r="A10" s="28" t="s">
        <v>579</v>
      </c>
      <c r="B10" s="20" t="s">
        <v>580</v>
      </c>
      <c r="C10" s="20" t="s">
        <v>581</v>
      </c>
      <c r="D10" s="20" t="s">
        <v>582</v>
      </c>
      <c r="E10" s="29" t="s">
        <v>583</v>
      </c>
    </row>
    <row r="11" customFormat="false" ht="24" hidden="false" customHeight="true" outlineLevel="0" collapsed="false">
      <c r="A11" s="28" t="s">
        <v>584</v>
      </c>
      <c r="B11" s="20" t="s">
        <v>585</v>
      </c>
      <c r="C11" s="20" t="s">
        <v>586</v>
      </c>
      <c r="D11" s="20" t="s">
        <v>587</v>
      </c>
      <c r="E11" s="29" t="s">
        <v>588</v>
      </c>
    </row>
    <row r="12" customFormat="false" ht="24" hidden="false" customHeight="true" outlineLevel="0" collapsed="false">
      <c r="A12" s="28" t="s">
        <v>589</v>
      </c>
      <c r="B12" s="20" t="s">
        <v>590</v>
      </c>
      <c r="C12" s="20" t="s">
        <v>591</v>
      </c>
      <c r="D12" s="20" t="s">
        <v>592</v>
      </c>
      <c r="E12" s="29" t="s">
        <v>593</v>
      </c>
    </row>
    <row r="13" customFormat="false" ht="24" hidden="false" customHeight="true" outlineLevel="0" collapsed="false">
      <c r="A13" s="30" t="s">
        <v>594</v>
      </c>
      <c r="B13" s="25" t="s">
        <v>595</v>
      </c>
      <c r="C13" s="25" t="s">
        <v>596</v>
      </c>
      <c r="D13" s="25" t="s">
        <v>597</v>
      </c>
      <c r="E13" s="31" t="s">
        <v>598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zeroHeight="false" outlineLevelRow="0" outlineLevelCol="0"/>
  <cols>
    <col collapsed="false" customWidth="true" hidden="false" outlineLevel="0" max="1" min="1" style="0" width="14.44"/>
    <col collapsed="false" customWidth="true" hidden="false" outlineLevel="0" max="2" min="2" style="0" width="33.33"/>
    <col collapsed="false" customWidth="true" hidden="false" outlineLevel="0" max="4" min="3" style="0" width="40"/>
    <col collapsed="false" customWidth="true" hidden="false" outlineLevel="0" max="5" min="5" style="0" width="23.33"/>
  </cols>
  <sheetData>
    <row r="1" customFormat="false" ht="15" hidden="false" customHeight="true" outlineLevel="0" collapsed="false">
      <c r="A1" s="15" t="s">
        <v>2</v>
      </c>
      <c r="B1" s="16" t="s">
        <v>599</v>
      </c>
      <c r="C1" s="16" t="s">
        <v>600</v>
      </c>
      <c r="D1" s="16" t="s">
        <v>601</v>
      </c>
      <c r="E1" s="17" t="s">
        <v>602</v>
      </c>
    </row>
    <row r="2" customFormat="false" ht="24" hidden="false" customHeight="true" outlineLevel="0" collapsed="false">
      <c r="A2" s="28" t="s">
        <v>12</v>
      </c>
      <c r="B2" s="20" t="s">
        <v>603</v>
      </c>
      <c r="C2" s="20" t="s">
        <v>604</v>
      </c>
      <c r="D2" s="20" t="s">
        <v>605</v>
      </c>
      <c r="E2" s="29" t="s">
        <v>606</v>
      </c>
    </row>
    <row r="3" customFormat="false" ht="24" hidden="false" customHeight="true" outlineLevel="0" collapsed="false">
      <c r="A3" s="28" t="s">
        <v>12</v>
      </c>
      <c r="B3" s="20" t="s">
        <v>607</v>
      </c>
      <c r="C3" s="20" t="s">
        <v>608</v>
      </c>
      <c r="D3" s="20" t="s">
        <v>609</v>
      </c>
      <c r="E3" s="29" t="s">
        <v>610</v>
      </c>
    </row>
    <row r="4" customFormat="false" ht="36" hidden="false" customHeight="true" outlineLevel="0" collapsed="false">
      <c r="A4" s="28" t="s">
        <v>14</v>
      </c>
      <c r="B4" s="20" t="s">
        <v>611</v>
      </c>
      <c r="C4" s="20" t="s">
        <v>612</v>
      </c>
      <c r="D4" s="20" t="s">
        <v>613</v>
      </c>
      <c r="E4" s="29" t="s">
        <v>614</v>
      </c>
    </row>
    <row r="5" customFormat="false" ht="36" hidden="false" customHeight="true" outlineLevel="0" collapsed="false">
      <c r="A5" s="28" t="s">
        <v>16</v>
      </c>
      <c r="B5" s="20" t="s">
        <v>615</v>
      </c>
      <c r="C5" s="20" t="s">
        <v>616</v>
      </c>
      <c r="D5" s="20" t="s">
        <v>132</v>
      </c>
      <c r="E5" s="29" t="s">
        <v>617</v>
      </c>
    </row>
    <row r="6" customFormat="false" ht="24" hidden="false" customHeight="true" outlineLevel="0" collapsed="false">
      <c r="A6" s="28" t="s">
        <v>18</v>
      </c>
      <c r="B6" s="20" t="s">
        <v>618</v>
      </c>
      <c r="C6" s="20" t="s">
        <v>619</v>
      </c>
      <c r="D6" s="20" t="s">
        <v>620</v>
      </c>
      <c r="E6" s="29" t="s">
        <v>621</v>
      </c>
    </row>
    <row r="7" customFormat="false" ht="36" hidden="false" customHeight="true" outlineLevel="0" collapsed="false">
      <c r="A7" s="28" t="s">
        <v>20</v>
      </c>
      <c r="B7" s="20" t="s">
        <v>622</v>
      </c>
      <c r="C7" s="20" t="s">
        <v>623</v>
      </c>
      <c r="D7" s="20" t="s">
        <v>624</v>
      </c>
      <c r="E7" s="29" t="s">
        <v>625</v>
      </c>
    </row>
    <row r="8" customFormat="false" ht="36" hidden="false" customHeight="true" outlineLevel="0" collapsed="false">
      <c r="A8" s="28" t="s">
        <v>626</v>
      </c>
      <c r="B8" s="20" t="s">
        <v>627</v>
      </c>
      <c r="C8" s="20" t="s">
        <v>318</v>
      </c>
      <c r="D8" s="20" t="s">
        <v>628</v>
      </c>
      <c r="E8" s="29" t="s">
        <v>629</v>
      </c>
    </row>
    <row r="9" customFormat="false" ht="36" hidden="false" customHeight="true" outlineLevel="0" collapsed="false">
      <c r="A9" s="28" t="s">
        <v>22</v>
      </c>
      <c r="B9" s="20" t="s">
        <v>630</v>
      </c>
      <c r="C9" s="20" t="s">
        <v>631</v>
      </c>
      <c r="D9" s="20" t="s">
        <v>632</v>
      </c>
      <c r="E9" s="29" t="s">
        <v>577</v>
      </c>
    </row>
    <row r="10" customFormat="false" ht="24" hidden="false" customHeight="true" outlineLevel="0" collapsed="false">
      <c r="A10" s="28" t="s">
        <v>22</v>
      </c>
      <c r="B10" s="20" t="s">
        <v>633</v>
      </c>
      <c r="C10" s="20" t="s">
        <v>634</v>
      </c>
      <c r="D10" s="20" t="s">
        <v>635</v>
      </c>
      <c r="E10" s="29" t="s">
        <v>636</v>
      </c>
    </row>
    <row r="11" customFormat="false" ht="36" hidden="false" customHeight="true" outlineLevel="0" collapsed="false">
      <c r="A11" s="28" t="s">
        <v>23</v>
      </c>
      <c r="B11" s="20" t="s">
        <v>637</v>
      </c>
      <c r="C11" s="20" t="s">
        <v>638</v>
      </c>
      <c r="D11" s="20" t="s">
        <v>639</v>
      </c>
      <c r="E11" s="29" t="s">
        <v>640</v>
      </c>
    </row>
    <row r="12" customFormat="false" ht="36" hidden="false" customHeight="true" outlineLevel="0" collapsed="false">
      <c r="A12" s="28" t="s">
        <v>24</v>
      </c>
      <c r="B12" s="20" t="s">
        <v>641</v>
      </c>
      <c r="C12" s="20" t="s">
        <v>642</v>
      </c>
      <c r="D12" s="20" t="s">
        <v>643</v>
      </c>
      <c r="E12" s="29" t="s">
        <v>644</v>
      </c>
    </row>
    <row r="13" customFormat="false" ht="24" hidden="false" customHeight="true" outlineLevel="0" collapsed="false">
      <c r="A13" s="30" t="s">
        <v>645</v>
      </c>
      <c r="B13" s="25" t="s">
        <v>646</v>
      </c>
      <c r="C13" s="25" t="s">
        <v>647</v>
      </c>
      <c r="D13" s="25" t="s">
        <v>648</v>
      </c>
      <c r="E13" s="31" t="s">
        <v>649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4.44"/>
  </cols>
  <sheetData>
    <row r="1" customFormat="false" ht="15" hidden="false" customHeight="true" outlineLevel="0" collapsed="false">
      <c r="A1" s="15" t="s">
        <v>650</v>
      </c>
      <c r="B1" s="17" t="s">
        <v>651</v>
      </c>
    </row>
    <row r="2" customFormat="false" ht="24" hidden="false" customHeight="true" outlineLevel="0" collapsed="false">
      <c r="A2" s="28" t="s">
        <v>652</v>
      </c>
      <c r="B2" s="29" t="s">
        <v>653</v>
      </c>
    </row>
    <row r="3" customFormat="false" ht="15" hidden="false" customHeight="true" outlineLevel="0" collapsed="false">
      <c r="A3" s="28" t="s">
        <v>654</v>
      </c>
      <c r="B3" s="29" t="s">
        <v>655</v>
      </c>
    </row>
    <row r="4" customFormat="false" ht="24" hidden="false" customHeight="true" outlineLevel="0" collapsed="false">
      <c r="A4" s="28" t="s">
        <v>656</v>
      </c>
      <c r="B4" s="29" t="s">
        <v>657</v>
      </c>
    </row>
    <row r="5" customFormat="false" ht="15" hidden="false" customHeight="true" outlineLevel="0" collapsed="false">
      <c r="A5" s="28" t="s">
        <v>658</v>
      </c>
      <c r="B5" s="29" t="s">
        <v>659</v>
      </c>
    </row>
    <row r="6" customFormat="false" ht="15" hidden="false" customHeight="true" outlineLevel="0" collapsed="false">
      <c r="A6" s="28" t="s">
        <v>660</v>
      </c>
      <c r="B6" s="29" t="s">
        <v>661</v>
      </c>
    </row>
    <row r="7" customFormat="false" ht="15" hidden="false" customHeight="true" outlineLevel="0" collapsed="false">
      <c r="A7" s="28" t="s">
        <v>662</v>
      </c>
      <c r="B7" s="29" t="s">
        <v>663</v>
      </c>
    </row>
    <row r="8" customFormat="false" ht="15" hidden="false" customHeight="true" outlineLevel="0" collapsed="false">
      <c r="A8" s="28" t="s">
        <v>664</v>
      </c>
      <c r="B8" s="29" t="s">
        <v>665</v>
      </c>
    </row>
    <row r="9" customFormat="false" ht="24" hidden="false" customHeight="true" outlineLevel="0" collapsed="false">
      <c r="A9" s="30" t="s">
        <v>666</v>
      </c>
      <c r="B9" s="31" t="s">
        <v>667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145</TotalTime>
  <Application>LibreOffice/24.2.1.2$MacOSX_AARCH64 LibreOffice_project/db4def46b0453cc22e2d0305797cf981b68ef5ac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2026-07-23T09:53:33Z</dcterms:modified>
  <cp:revision>2</cp:revision>
  <dc:subject/>
  <dc:title/>
</cp:coreProperties>
</file>