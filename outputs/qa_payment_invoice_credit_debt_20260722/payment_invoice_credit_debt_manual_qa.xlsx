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9a7b3332fd43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1317812835740e7"/>
    <x:sheet xmlns:r="http://schemas.openxmlformats.org/officeDocument/2006/relationships" name="Manual Cases" sheetId="2" r:id="Rb07f4005f13a4ac8"/>
    <x:sheet xmlns:r="http://schemas.openxmlformats.org/officeDocument/2006/relationships" name="Data Setup" sheetId="3" r:id="R015a8d1abcbf4151"/>
    <x:sheet xmlns:r="http://schemas.openxmlformats.org/officeDocument/2006/relationships" name="Source Map" sheetId="4" r:id="R9dc69bd68c4847b7"/>
    <x:sheet xmlns:r="http://schemas.openxmlformats.org/officeDocument/2006/relationships" name="Run Guide" sheetId="5" r:id="R076a2aca98d14b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5">
    <x:font>
      <x:sz val="11"/>
      <x:name val="Carlito"/>
    </x:font>
    <x:font>
      <x:sz val="10"/>
      <x:color rgb="FF111827"/>
      <x:name val="Calibri"/>
    </x:font>
    <x:font>
      <x:b/>
      <x:sz val="10"/>
      <x:color rgb="FFFFFFFF"/>
      <x:name val="Calibri"/>
    </x:font>
    <x:font>
      <x:b/>
      <x:sz val="16"/>
      <x:color rgb="FFFFFFFF"/>
      <x:name val="Calibri"/>
    </x:font>
    <x:font>
      <x:sz val="10"/>
      <x:color rgb="FF0F172A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172A"/>
      </x:patternFill>
    </x:fill>
    <x:fill>
      <x:patternFill patternType="solid">
        <x:fgColor rgb="FFE0F2FE"/>
      </x:patternFill>
    </x:fill>
    <x:fill>
      <x:patternFill patternType="solid">
        <x:fgColor rgb="FF475569"/>
      </x:patternFill>
    </x:fill>
    <x:fill>
      <x:patternFill patternType="solid">
        <x:fgColor rgb="FFF8FAFC"/>
      </x:patternFill>
    </x:fill>
  </x:fills>
  <x:borders count="20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right style="thin">
        <x:color rgb="FFF3F4F6"/>
      </x:right>
      <x:bottom style="thin">
        <x:color rgb="FFE5E7EB"/>
      </x:bottom>
    </x:border>
    <x:border>
      <x:left style="thin">
        <x:color rgb="FFF3F4F6"/>
      </x:left>
      <x:right style="thin">
        <x:color rgb="FFF3F4F6"/>
      </x:right>
      <x:bottom style="thin">
        <x:color rgb="FFE5E7EB"/>
      </x:bottom>
    </x:border>
    <x:border>
      <x:left style="thin">
        <x:color rgb="FFF3F4F6"/>
      </x:left>
      <x:bottom style="thin">
        <x:color rgb="FFE5E7EB"/>
      </x:bottom>
    </x:border>
    <x:border>
      <x:right style="thin">
        <x:color rgb="FFF3F4F6"/>
      </x:right>
      <x:top style="thin">
        <x:color rgb="FFE5E7EB"/>
      </x:top>
      <x:bottom style="thin">
        <x:color rgb="FFE5E7EB"/>
      </x:bottom>
    </x:border>
    <x:border>
      <x:left style="thin">
        <x:color rgb="FFF3F4F6"/>
      </x:left>
      <x:right style="thin">
        <x:color rgb="FFF3F4F6"/>
      </x:right>
      <x:top style="thin">
        <x:color rgb="FFE5E7EB"/>
      </x:top>
      <x:bottom style="thin">
        <x:color rgb="FFE5E7EB"/>
      </x:bottom>
    </x:border>
    <x:border>
      <x:left style="thin">
        <x:color rgb="FFF3F4F6"/>
      </x:left>
      <x:top style="thin">
        <x:color rgb="FFE5E7EB"/>
      </x:top>
      <x:bottom style="thin">
        <x:color rgb="FFE5E7EB"/>
      </x:bottom>
    </x:border>
    <x:border>
      <x:right style="thin">
        <x:color rgb="FFF3F4F6"/>
      </x:right>
      <x:top style="thin">
        <x:color rgb="FFE5E7EB"/>
      </x:top>
      <x:bottom style="thin">
        <x:color rgb="FFD1D5DB"/>
      </x:bottom>
    </x:border>
    <x:border>
      <x:left style="thin">
        <x:color rgb="FFF3F4F6"/>
      </x:left>
      <x:right style="thin">
        <x:color rgb="FFF3F4F6"/>
      </x:right>
      <x:top style="thin">
        <x:color rgb="FFE5E7EB"/>
      </x:top>
      <x:bottom style="thin">
        <x:color rgb="FFD1D5DB"/>
      </x:bottom>
    </x:border>
    <x:border>
      <x:left style="thin">
        <x:color rgb="FFF3F4F6"/>
      </x:left>
      <x:top style="thin">
        <x:color rgb="FFE5E7E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horizontal="center" vertical="top" wrapText="1"/>
    </x:xf>
    <x:xf numFmtId="0" fontId="1" fillId="0" borderId="8" xfId="0" applyNumberFormat="1" applyFont="1" applyFill="1" applyBorder="1" applyAlignment="1">
      <x:alignment horizontal="center" vertical="top" wrapText="1"/>
    </x:xf>
    <x:xf numFmtId="0" fontId="1" fillId="0" borderId="10" xfId="0" applyNumberFormat="1" applyFont="1" applyFill="1" applyBorder="1" applyAlignment="1">
      <x:alignment horizontal="center" vertical="top" wrapText="1"/>
    </x:xf>
    <x:xf numFmtId="0" fontId="1" fillId="0" borderId="11" xfId="0" applyNumberFormat="1" applyFont="1" applyFill="1" applyBorder="1" applyAlignment="1">
      <x:alignment horizontal="center" vertical="top" wrapText="1"/>
    </x:xf>
    <x:xf numFmtId="200" fontId="1" fillId="0" borderId="8" xfId="0" applyNumberFormat="1" applyFont="1" applyFill="1" applyBorder="1" applyAlignment="1">
      <x:alignment vertical="top" wrapText="1"/>
    </x:xf>
    <x:xf numFmtId="200" fontId="1" fillId="0" borderId="1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3" xfId="0" applyNumberFormat="1" applyFont="1" applyFill="1" applyBorder="1" applyAlignment="1">
      <x:alignment horizontal="center"/>
    </x:xf>
    <x:xf numFmtId="0" fontId="1" fillId="0" borderId="13" xfId="0" applyNumberFormat="1" applyFont="1" applyFill="1" applyBorder="1"/>
    <x:xf numFmtId="201" fontId="1" fillId="0" borderId="13" xfId="0" applyNumberFormat="1" applyFont="1" applyFill="1" applyBorder="1"/>
    <x:xf numFmtId="0" fontId="1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13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/>
    <x:xf numFmtId="0" fontId="1" fillId="6" borderId="14" xfId="0" applyNumberFormat="1" applyFont="1" applyFill="1" applyBorder="1"/>
    <x:xf numFmtId="0" fontId="1" fillId="6" borderId="15" xfId="0" applyNumberFormat="1" applyFont="1" applyFill="1" applyBorder="1"/>
    <x:xf numFmtId="0" fontId="1" fillId="6" borderId="16" xfId="0" applyNumberFormat="1" applyFont="1" applyFill="1" applyBorder="1"/>
    <x:xf numFmtId="0" fontId="1" fillId="6" borderId="17" xfId="0" applyNumberFormat="1" applyFont="1" applyFill="1" applyBorder="1"/>
    <x:xf numFmtId="0" fontId="1" fillId="6" borderId="18" xfId="0" applyNumberFormat="1" applyFont="1" applyFill="1" applyBorder="1"/>
    <x:xf numFmtId="0" fontId="1" fillId="6" borderId="19" xfId="0" applyNumberFormat="1" applyFont="1" applyFill="1" applyBorder="1"/>
    <x:xf numFmtId="0" fontId="1" fillId="6" borderId="14" xfId="0" applyNumberFormat="1" applyFont="1" applyFill="1" applyBorder="1" applyAlignment="1">
      <x:alignment wrapText="1"/>
    </x:xf>
    <x:xf numFmtId="0" fontId="1" fillId="6" borderId="15" xfId="0" applyNumberFormat="1" applyFont="1" applyFill="1" applyBorder="1" applyAlignment="1">
      <x:alignment wrapText="1"/>
    </x:xf>
    <x:xf numFmtId="0" fontId="1" fillId="6" borderId="16" xfId="0" applyNumberFormat="1" applyFont="1" applyFill="1" applyBorder="1" applyAlignment="1">
      <x:alignment wrapText="1"/>
    </x:xf>
    <x:xf numFmtId="0" fontId="1" fillId="6" borderId="17" xfId="0" applyNumberFormat="1" applyFont="1" applyFill="1" applyBorder="1" applyAlignment="1">
      <x:alignment wrapText="1"/>
    </x:xf>
    <x:xf numFmtId="0" fontId="1" fillId="6" borderId="18" xfId="0" applyNumberFormat="1" applyFont="1" applyFill="1" applyBorder="1" applyAlignment="1">
      <x:alignment wrapText="1"/>
    </x:xf>
    <x:xf numFmtId="0" fontId="1" fillId="6" borderId="19" xfId="0" applyNumberFormat="1" applyFont="1" applyFill="1" applyBorder="1" applyAlignment="1">
      <x:alignment wrapText="1"/>
    </x:xf>
    <x:xf numFmtId="0" fontId="1" fillId="6" borderId="14" xfId="0" applyNumberFormat="1" applyFont="1" applyFill="1" applyBorder="1" applyAlignment="1">
      <x:alignment vertical="top" wrapText="1"/>
    </x:xf>
    <x:xf numFmtId="0" fontId="1" fillId="6" borderId="15" xfId="0" applyNumberFormat="1" applyFont="1" applyFill="1" applyBorder="1" applyAlignment="1">
      <x:alignment vertical="top" wrapText="1"/>
    </x:xf>
    <x:xf numFmtId="0" fontId="1" fillId="6" borderId="16" xfId="0" applyNumberFormat="1" applyFont="1" applyFill="1" applyBorder="1" applyAlignment="1">
      <x:alignment vertical="top" wrapText="1"/>
    </x:xf>
    <x:xf numFmtId="0" fontId="1" fillId="6" borderId="17" xfId="0" applyNumberFormat="1" applyFont="1" applyFill="1" applyBorder="1" applyAlignment="1">
      <x:alignment vertical="top" wrapText="1"/>
    </x:xf>
    <x:xf numFmtId="0" fontId="1" fillId="6" borderId="18" xfId="0" applyNumberFormat="1" applyFont="1" applyFill="1" applyBorder="1" applyAlignment="1">
      <x:alignment vertical="top" wrapText="1"/>
    </x:xf>
    <x:xf numFmtId="0" fontId="1" fillId="6" borderId="19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c9c5b6c2be4b4c" /><Relationship Type="http://schemas.openxmlformats.org/officeDocument/2006/relationships/theme" Target="/xl/theme/theme1.xml" Id="R8cf7d22a230f4347" /><Relationship Type="http://schemas.openxmlformats.org/officeDocument/2006/relationships/sharedStrings" Target="/xl/sharedStrings.xml" Id="Re180756444cd4597" /><Relationship Type="http://schemas.openxmlformats.org/officeDocument/2006/relationships/worksheet" Target="/xl/worksheets/sheet1.xml" Id="R61317812835740e7" /><Relationship Type="http://schemas.openxmlformats.org/officeDocument/2006/relationships/worksheet" Target="/xl/worksheets/sheet2.xml" Id="Rb07f4005f13a4ac8" /><Relationship Type="http://schemas.openxmlformats.org/officeDocument/2006/relationships/worksheet" Target="/xl/worksheets/sheet3.xml" Id="R015a8d1abcbf4151" /><Relationship Type="http://schemas.openxmlformats.org/officeDocument/2006/relationships/worksheet" Target="/xl/worksheets/sheet4.xml" Id="R9dc69bd68c4847b7" /><Relationship Type="http://schemas.openxmlformats.org/officeDocument/2006/relationships/worksheet" Target="/xl/worksheets/sheet5.xml" Id="R076a2aca98d14b26" /></Relationships>
</file>

<file path=xl/tables/table1.xml><?xml version="1.0" encoding="utf-8"?>
<x:table xmlns:x="http://schemas.openxmlformats.org/spreadsheetml/2006/main" id="1" name="ManualCasesTable" displayName="ManualCasesTable" ref="A1:Q62" headerRowCount="1" totalsRowCount="0" totalsRowShown="0">
  <x:autoFilter ref="A1:Q62"/>
  <x:tableColumns count="17">
    <x:tableColumn id="1" name="Case ID"/>
    <x:tableColumn id="2" name="Area"/>
    <x:tableColumn id="3" name="Priority"/>
    <x:tableColumn id="4" name="Scenario"/>
    <x:tableColumn id="5" name="Preconditions / Data"/>
    <x:tableColumn id="6" name="Manual Steps"/>
    <x:tableColumn id="7" name="Expected Results"/>
    <x:tableColumn id="8" name="Post-Checks / Evidence"/>
    <x:tableColumn id="9" name="Source Tests"/>
    <x:tableColumn id="10" name="Source Code"/>
    <x:tableColumn id="11" name="QA Notes"/>
    <x:tableColumn id="12" name="Status"/>
    <x:tableColumn id="13" name="Owner"/>
    <x:tableColumn id="14" name="Date Tested"/>
    <x:tableColumn id="15" name="Actual Result"/>
    <x:tableColumn id="16" name="Defect Link"/>
    <x:tableColumn id="17" name="Execution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SetupTable" displayName="DataSetupTable" ref="A1:E13" headerRowCount="1" totalsRowCount="0" totalsRowShown="0">
  <x:autoFilter ref="A1:E13"/>
  <x:tableColumns count="5">
    <x:tableColumn id="1" name="Setup ID"/>
    <x:tableColumn id="2" name="Entity"/>
    <x:tableColumn id="3" name="Setup Instructions"/>
    <x:tableColumn id="4" name="Used By"/>
    <x:tableColumn id="5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MapTable" displayName="SourceMapTable" ref="A1:E13" headerRowCount="1" totalsRowCount="0" totalsRowShown="0">
  <x:autoFilter ref="A1:E13"/>
  <x:tableColumns count="5">
    <x:tableColumn id="1" name="Area"/>
    <x:tableColumn id="2" name="Behavior"/>
    <x:tableColumn id="3" name="Primary Source Code"/>
    <x:tableColumn id="4" name="Automated Tests"/>
    <x:tableColumn id="5" name="Manual Case ID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unGuideTable" displayName="RunGuideTable" ref="A1:B9" headerRowCount="1" totalsRowCount="0" totalsRowShown="0">
  <x:autoFilter ref="A1:B9"/>
  <x:tableColumns count="2">
    <x:tableColumn id="1" name="Topic"/>
    <x:tableColumn id="2" name="Guid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714492c6494a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41e87453444b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921bb9a4574f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fae0a4430940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.889999389648438" hidden="0" customWidth="1"/>
    <x:col min="3" max="3" width="8.890000343322754" hidden="0" customWidth="1"/>
    <x:col min="4" max="4" width="8.890000343322754" hidden="0" customWidth="1"/>
    <x:col min="5" max="5" width="8.890000343322754" hidden="0" customWidth="1"/>
    <x:col min="6" max="6" width="12.779999732971191" hidden="0" customWidth="1"/>
    <x:col min="7" max="7" width="8.890000343322754" hidden="0" customWidth="1"/>
    <x:col min="8" max="8" width="8.890000343322754" hidden="0" customWidth="1"/>
    <x:col min="9" max="9" width="3.3299999237060547" hidden="0" customWidth="1"/>
    <x:col min="10" max="10" width="20" hidden="0" customWidth="1"/>
    <x:col min="11" max="11" width="10" hidden="0" customWidth="1"/>
  </x:cols>
  <x:sheetData>
    <x:row r="1" ht="25.5" customHeight="1">
      <x:c r="A1" s="32" t="str">
        <x:v>Manual QA Handoff: Payment, Invoice, Credit, and Debt</x:v>
      </x:c>
      <x:c r="B1" s="32"/>
      <x:c r="C1" s="32"/>
      <x:c r="D1" s="32"/>
      <x:c r="E1" s="32"/>
      <x:c r="F1" s="32"/>
      <x:c r="G1" s="32"/>
      <x:c r="H1" s="32"/>
      <x:c r="I1" s="1"/>
      <x:c r="J1" s="1"/>
      <x:c r="K1" s="1"/>
    </x:row>
    <x:row r="2">
      <x:c r="A2" s="34" t="str">
        <x:v>Generated 2026-07-22 from repository tests and service code. Total manual cases: 61.</x:v>
      </x:c>
      <x:c r="B2" s="34"/>
      <x:c r="C2" s="34"/>
      <x:c r="D2" s="34"/>
      <x:c r="E2" s="34"/>
      <x:c r="F2" s="34"/>
      <x:c r="G2" s="34"/>
      <x:c r="H2" s="34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38" t="str">
        <x:v>Area</x:v>
      </x:c>
      <x:c r="B4" s="38" t="str">
        <x:v>Total</x:v>
      </x:c>
      <x:c r="C4" s="38" t="str">
        <x:v>P0</x:v>
      </x:c>
      <x:c r="D4" s="38" t="str">
        <x:v>P1</x:v>
      </x:c>
      <x:c r="E4" s="38" t="str">
        <x:v>P2</x:v>
      </x:c>
      <x:c r="F4" s="38" t="str">
        <x:v>Not Started</x:v>
      </x:c>
      <x:c r="G4" s="38" t="str">
        <x:v>Pass</x:v>
      </x:c>
      <x:c r="H4" s="38" t="str">
        <x:v>Fail</x:v>
      </x:c>
      <x:c r="I4" s="1"/>
      <x:c r="J4" s="44" t="str">
        <x:v>Execution Snapshot</x:v>
      </x:c>
      <x:c r="K4" s="44" t="str">
        <x:v>Count</x:v>
      </x:c>
    </x:row>
    <x:row r="5">
      <x:c r="A5" s="39" t="str">
        <x:v>Payments</x:v>
      </x:c>
      <x:c r="B5" s="40" t="n">
        <x:f>COUNTIF('Manual Cases'!$B$2:$B$62,A5)</x:f>
        <x:v>9</x:v>
      </x:c>
      <x:c r="C5" s="40" t="n">
        <x:f>COUNTIFS('Manual Cases'!$B$2:$B$62,A5,'Manual Cases'!$C$2:$C$62,"P0")</x:f>
        <x:v>5</x:v>
      </x:c>
      <x:c r="D5" s="40" t="n">
        <x:f>COUNTIFS('Manual Cases'!$B$2:$B$62,A5,'Manual Cases'!$C$2:$C$62,"P1")</x:f>
        <x:v>3</x:v>
      </x:c>
      <x:c r="E5" s="40" t="n">
        <x:f>COUNTIFS('Manual Cases'!$B$2:$B$62,A5,'Manual Cases'!$C$2:$C$62,"P2")</x:f>
        <x:v>1</x:v>
      </x:c>
      <x:c r="F5" s="40" t="n">
        <x:f>COUNTIFS('Manual Cases'!$B$2:$B$62,A5,'Manual Cases'!$L$2:$L$62,"Not Started")</x:f>
        <x:v>9</x:v>
      </x:c>
      <x:c r="G5" s="40" t="n">
        <x:f>COUNTIFS('Manual Cases'!$B$2:$B$62,A5,'Manual Cases'!$L$2:$L$62,"Pass")</x:f>
        <x:v>0</x:v>
      </x:c>
      <x:c r="H5" s="40" t="n">
        <x:f>COUNTIFS('Manual Cases'!$B$2:$B$62,A5,'Manual Cases'!$L$2:$L$62,"Fail")</x:f>
        <x:v>0</x:v>
      </x:c>
      <x:c r="I5" s="1"/>
      <x:c r="J5" s="39" t="str">
        <x:v>Overall Total</x:v>
      </x:c>
      <x:c r="K5" s="40" t="n">
        <x:f>COUNTA('Manual Cases'!$A$2:$A$62)</x:f>
        <x:v>61</x:v>
      </x:c>
    </x:row>
    <x:row r="6">
      <x:c r="A6" s="39" t="str">
        <x:v>Balance</x:v>
      </x:c>
      <x:c r="B6" s="40" t="n">
        <x:f>COUNTIF('Manual Cases'!$B$2:$B$62,A6)</x:f>
        <x:v>2</x:v>
      </x:c>
      <x:c r="C6" s="40" t="n">
        <x:f>COUNTIFS('Manual Cases'!$B$2:$B$62,A6,'Manual Cases'!$C$2:$C$62,"P0")</x:f>
        <x:v>1</x:v>
      </x:c>
      <x:c r="D6" s="40" t="n">
        <x:f>COUNTIFS('Manual Cases'!$B$2:$B$62,A6,'Manual Cases'!$C$2:$C$62,"P1")</x:f>
        <x:v>1</x:v>
      </x:c>
      <x:c r="E6" s="40" t="n">
        <x:f>COUNTIFS('Manual Cases'!$B$2:$B$62,A6,'Manual Cases'!$C$2:$C$62,"P2")</x:f>
        <x:v>0</x:v>
      </x:c>
      <x:c r="F6" s="40" t="n">
        <x:f>COUNTIFS('Manual Cases'!$B$2:$B$62,A6,'Manual Cases'!$L$2:$L$62,"Not Started")</x:f>
        <x:v>2</x:v>
      </x:c>
      <x:c r="G6" s="40" t="n">
        <x:f>COUNTIFS('Manual Cases'!$B$2:$B$62,A6,'Manual Cases'!$L$2:$L$62,"Pass")</x:f>
        <x:v>0</x:v>
      </x:c>
      <x:c r="H6" s="40" t="n">
        <x:f>COUNTIFS('Manual Cases'!$B$2:$B$62,A6,'Manual Cases'!$L$2:$L$62,"Fail")</x:f>
        <x:v>0</x:v>
      </x:c>
      <x:c r="I6" s="1"/>
      <x:c r="J6" s="39" t="str">
        <x:v>P0 Count</x:v>
      </x:c>
      <x:c r="K6" s="40" t="n">
        <x:f>COUNTIF('Manual Cases'!$C$2:$C$62,"P0")</x:f>
        <x:v>31</x:v>
      </x:c>
    </x:row>
    <x:row r="7">
      <x:c r="A7" s="39" t="str">
        <x:v>Debt</x:v>
      </x:c>
      <x:c r="B7" s="40" t="n">
        <x:f>COUNTIF('Manual Cases'!$B$2:$B$62,A7)</x:f>
        <x:v>5</x:v>
      </x:c>
      <x:c r="C7" s="40" t="n">
        <x:f>COUNTIFS('Manual Cases'!$B$2:$B$62,A7,'Manual Cases'!$C$2:$C$62,"P0")</x:f>
        <x:v>2</x:v>
      </x:c>
      <x:c r="D7" s="40" t="n">
        <x:f>COUNTIFS('Manual Cases'!$B$2:$B$62,A7,'Manual Cases'!$C$2:$C$62,"P1")</x:f>
        <x:v>3</x:v>
      </x:c>
      <x:c r="E7" s="40" t="n">
        <x:f>COUNTIFS('Manual Cases'!$B$2:$B$62,A7,'Manual Cases'!$C$2:$C$62,"P2")</x:f>
        <x:v>0</x:v>
      </x:c>
      <x:c r="F7" s="40" t="n">
        <x:f>COUNTIFS('Manual Cases'!$B$2:$B$62,A7,'Manual Cases'!$L$2:$L$62,"Not Started")</x:f>
        <x:v>5</x:v>
      </x:c>
      <x:c r="G7" s="40" t="n">
        <x:f>COUNTIFS('Manual Cases'!$B$2:$B$62,A7,'Manual Cases'!$L$2:$L$62,"Pass")</x:f>
        <x:v>0</x:v>
      </x:c>
      <x:c r="H7" s="40" t="n">
        <x:f>COUNTIFS('Manual Cases'!$B$2:$B$62,A7,'Manual Cases'!$L$2:$L$62,"Fail")</x:f>
        <x:v>0</x:v>
      </x:c>
      <x:c r="I7" s="1"/>
      <x:c r="J7" s="39" t="str">
        <x:v>Pass Count</x:v>
      </x:c>
      <x:c r="K7" s="40" t="n">
        <x:f>COUNTIF('Manual Cases'!$L$2:$L$62,"Pass")</x:f>
        <x:v>0</x:v>
      </x:c>
    </x:row>
    <x:row r="8">
      <x:c r="A8" s="39" t="str">
        <x:v>Credit Orders</x:v>
      </x:c>
      <x:c r="B8" s="40" t="n">
        <x:f>COUNTIF('Manual Cases'!$B$2:$B$62,A8)</x:f>
        <x:v>12</x:v>
      </x:c>
      <x:c r="C8" s="40" t="n">
        <x:f>COUNTIFS('Manual Cases'!$B$2:$B$62,A8,'Manual Cases'!$C$2:$C$62,"P0")</x:f>
        <x:v>6</x:v>
      </x:c>
      <x:c r="D8" s="40" t="n">
        <x:f>COUNTIFS('Manual Cases'!$B$2:$B$62,A8,'Manual Cases'!$C$2:$C$62,"P1")</x:f>
        <x:v>5</x:v>
      </x:c>
      <x:c r="E8" s="40" t="n">
        <x:f>COUNTIFS('Manual Cases'!$B$2:$B$62,A8,'Manual Cases'!$C$2:$C$62,"P2")</x:f>
        <x:v>1</x:v>
      </x:c>
      <x:c r="F8" s="40" t="n">
        <x:f>COUNTIFS('Manual Cases'!$B$2:$B$62,A8,'Manual Cases'!$L$2:$L$62,"Not Started")</x:f>
        <x:v>12</x:v>
      </x:c>
      <x:c r="G8" s="40" t="n">
        <x:f>COUNTIFS('Manual Cases'!$B$2:$B$62,A8,'Manual Cases'!$L$2:$L$62,"Pass")</x:f>
        <x:v>0</x:v>
      </x:c>
      <x:c r="H8" s="40" t="n">
        <x:f>COUNTIFS('Manual Cases'!$B$2:$B$62,A8,'Manual Cases'!$L$2:$L$62,"Fail")</x:f>
        <x:v>0</x:v>
      </x:c>
      <x:c r="I8" s="1"/>
      <x:c r="J8" s="39" t="str">
        <x:v>Fail Count</x:v>
      </x:c>
      <x:c r="K8" s="40" t="n">
        <x:f>COUNTIF('Manual Cases'!$L$2:$L$62,"Fail")</x:f>
        <x:v>0</x:v>
      </x:c>
    </x:row>
    <x:row r="9">
      <x:c r="A9" s="39" t="str">
        <x:v>Credit Config</x:v>
      </x:c>
      <x:c r="B9" s="40" t="n">
        <x:f>COUNTIF('Manual Cases'!$B$2:$B$62,A9)</x:f>
        <x:v>7</x:v>
      </x:c>
      <x:c r="C9" s="40" t="n">
        <x:f>COUNTIFS('Manual Cases'!$B$2:$B$62,A9,'Manual Cases'!$C$2:$C$62,"P0")</x:f>
        <x:v>1</x:v>
      </x:c>
      <x:c r="D9" s="40" t="n">
        <x:f>COUNTIFS('Manual Cases'!$B$2:$B$62,A9,'Manual Cases'!$C$2:$C$62,"P1")</x:f>
        <x:v>5</x:v>
      </x:c>
      <x:c r="E9" s="40" t="n">
        <x:f>COUNTIFS('Manual Cases'!$B$2:$B$62,A9,'Manual Cases'!$C$2:$C$62,"P2")</x:f>
        <x:v>1</x:v>
      </x:c>
      <x:c r="F9" s="40" t="n">
        <x:f>COUNTIFS('Manual Cases'!$B$2:$B$62,A9,'Manual Cases'!$L$2:$L$62,"Not Started")</x:f>
        <x:v>7</x:v>
      </x:c>
      <x:c r="G9" s="40" t="n">
        <x:f>COUNTIFS('Manual Cases'!$B$2:$B$62,A9,'Manual Cases'!$L$2:$L$62,"Pass")</x:f>
        <x:v>0</x:v>
      </x:c>
      <x:c r="H9" s="40" t="n">
        <x:f>COUNTIFS('Manual Cases'!$B$2:$B$62,A9,'Manual Cases'!$L$2:$L$62,"Fail")</x:f>
        <x:v>0</x:v>
      </x:c>
      <x:c r="I9" s="1"/>
      <x:c r="J9" s="39" t="str">
        <x:v>Blocked Count</x:v>
      </x:c>
      <x:c r="K9" s="40" t="n">
        <x:f>COUNTIF('Manual Cases'!$L$2:$L$62,"Blocked")</x:f>
        <x:v>0</x:v>
      </x:c>
    </x:row>
    <x:row r="10">
      <x:c r="A10" s="39" t="str">
        <x:v>Invoices</x:v>
      </x:c>
      <x:c r="B10" s="40" t="n">
        <x:f>COUNTIF('Manual Cases'!$B$2:$B$62,A10)</x:f>
        <x:v>12</x:v>
      </x:c>
      <x:c r="C10" s="40" t="n">
        <x:f>COUNTIFS('Manual Cases'!$B$2:$B$62,A10,'Manual Cases'!$C$2:$C$62,"P0")</x:f>
        <x:v>7</x:v>
      </x:c>
      <x:c r="D10" s="40" t="n">
        <x:f>COUNTIFS('Manual Cases'!$B$2:$B$62,A10,'Manual Cases'!$C$2:$C$62,"P1")</x:f>
        <x:v>4</x:v>
      </x:c>
      <x:c r="E10" s="40" t="n">
        <x:f>COUNTIFS('Manual Cases'!$B$2:$B$62,A10,'Manual Cases'!$C$2:$C$62,"P2")</x:f>
        <x:v>1</x:v>
      </x:c>
      <x:c r="F10" s="40" t="n">
        <x:f>COUNTIFS('Manual Cases'!$B$2:$B$62,A10,'Manual Cases'!$L$2:$L$62,"Not Started")</x:f>
        <x:v>12</x:v>
      </x:c>
      <x:c r="G10" s="40" t="n">
        <x:f>COUNTIFS('Manual Cases'!$B$2:$B$62,A10,'Manual Cases'!$L$2:$L$62,"Pass")</x:f>
        <x:v>0</x:v>
      </x:c>
      <x:c r="H10" s="40" t="n">
        <x:f>COUNTIFS('Manual Cases'!$B$2:$B$62,A10,'Manual Cases'!$L$2:$L$62,"Fail")</x:f>
        <x:v>0</x:v>
      </x:c>
      <x:c r="I10" s="1"/>
      <x:c r="J10" s="1"/>
      <x:c r="K10" s="1"/>
    </x:row>
    <x:row r="11">
      <x:c r="A11" s="39" t="str">
        <x:v>Cancellations</x:v>
      </x:c>
      <x:c r="B11" s="40" t="n">
        <x:f>COUNTIF('Manual Cases'!$B$2:$B$62,A11)</x:f>
        <x:v>8</x:v>
      </x:c>
      <x:c r="C11" s="40" t="n">
        <x:f>COUNTIFS('Manual Cases'!$B$2:$B$62,A11,'Manual Cases'!$C$2:$C$62,"P0")</x:f>
        <x:v>7</x:v>
      </x:c>
      <x:c r="D11" s="40" t="n">
        <x:f>COUNTIFS('Manual Cases'!$B$2:$B$62,A11,'Manual Cases'!$C$2:$C$62,"P1")</x:f>
        <x:v>0</x:v>
      </x:c>
      <x:c r="E11" s="40" t="n">
        <x:f>COUNTIFS('Manual Cases'!$B$2:$B$62,A11,'Manual Cases'!$C$2:$C$62,"P2")</x:f>
        <x:v>1</x:v>
      </x:c>
      <x:c r="F11" s="40" t="n">
        <x:f>COUNTIFS('Manual Cases'!$B$2:$B$62,A11,'Manual Cases'!$L$2:$L$62,"Not Started")</x:f>
        <x:v>8</x:v>
      </x:c>
      <x:c r="G11" s="40" t="n">
        <x:f>COUNTIFS('Manual Cases'!$B$2:$B$62,A11,'Manual Cases'!$L$2:$L$62,"Pass")</x:f>
        <x:v>0</x:v>
      </x:c>
      <x:c r="H11" s="40" t="n">
        <x:f>COUNTIFS('Manual Cases'!$B$2:$B$62,A11,'Manual Cases'!$L$2:$L$62,"Fail")</x:f>
        <x:v>0</x:v>
      </x:c>
      <x:c r="I11" s="1"/>
      <x:c r="J11" s="1"/>
      <x:c r="K11" s="1"/>
    </x:row>
    <x:row r="12">
      <x:c r="A12" s="39" t="str">
        <x:v>Reports</x:v>
      </x:c>
      <x:c r="B12" s="40" t="n">
        <x:f>COUNTIF('Manual Cases'!$B$2:$B$62,A12)</x:f>
        <x:v>6</x:v>
      </x:c>
      <x:c r="C12" s="40" t="n">
        <x:f>COUNTIFS('Manual Cases'!$B$2:$B$62,A12,'Manual Cases'!$C$2:$C$62,"P0")</x:f>
        <x:v>2</x:v>
      </x:c>
      <x:c r="D12" s="40" t="n">
        <x:f>COUNTIFS('Manual Cases'!$B$2:$B$62,A12,'Manual Cases'!$C$2:$C$62,"P1")</x:f>
        <x:v>2</x:v>
      </x:c>
      <x:c r="E12" s="40" t="n">
        <x:f>COUNTIFS('Manual Cases'!$B$2:$B$62,A12,'Manual Cases'!$C$2:$C$62,"P2")</x:f>
        <x:v>2</x:v>
      </x:c>
      <x:c r="F12" s="40" t="n">
        <x:f>COUNTIFS('Manual Cases'!$B$2:$B$62,A12,'Manual Cases'!$L$2:$L$62,"Not Started")</x:f>
        <x:v>6</x:v>
      </x:c>
      <x:c r="G12" s="40" t="n">
        <x:f>COUNTIFS('Manual Cases'!$B$2:$B$62,A12,'Manual Cases'!$L$2:$L$62,"Pass")</x:f>
        <x:v>0</x:v>
      </x:c>
      <x:c r="H12" s="40" t="n">
        <x:f>COUNTIFS('Manual Cases'!$B$2:$B$62,A12,'Manual Cases'!$L$2:$L$62,"Fail")</x:f>
        <x:v>0</x:v>
      </x:c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36" t="str">
        <x:v>QA Guidance</x:v>
      </x:c>
      <x:c r="B15" s="36" t="str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58" t="str">
        <x:v>1</x:v>
      </x:c>
      <x:c r="B16" s="59" t="str">
        <x:v>Execute P0 cases first. They cover money movement, invoice creation, credit registration/settlement, and cancellation reversals.</x:v>
      </x:c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60" t="str">
        <x:v>2</x:v>
      </x:c>
      <x:c r="B17" s="61" t="str">
        <x:v>Use a disposable QA tenant/database. The cases intentionally mutate balances, debts, invoices, payments, and order statuses.</x:v>
      </x:c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60" t="str">
        <x:v>3</x:v>
      </x:c>
      <x:c r="B18" s="61" t="str">
        <x:v>Record object IDs and before/after financial values in the Manual Cases sheet.</x:v>
      </x:c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60" t="str">
        <x:v>4</x:v>
      </x:c>
      <x:c r="B19" s="61" t="str">
        <x:v>Import this XLSX into Google Sheets if a native shared sheet is needed.</x:v>
      </x:c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60" t="str">
        <x:v>5</x:v>
      </x:c>
      <x:c r="B20" s="61" t="str">
        <x:v>Native Google Sheet creation requires the Google Drive plugin, which is not installed in this Codex session.</x:v>
      </x:c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62" t="str">
        <x:v>6</x:v>
      </x:c>
      <x:c r="B21" s="63" t="str">
        <x:v>Source Map provides code and test references for auditability.</x:v>
      </x:c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 t="str"/>
      <x:c r="B22" s="1" t="str"/>
      <x:c r="C22" s="1"/>
      <x:c r="D22" s="1"/>
      <x:c r="E22" s="1"/>
      <x:c r="F22" s="1"/>
      <x:c r="G22" s="1"/>
      <x:c r="H22" s="1"/>
      <x:c r="I22" s="1"/>
      <x:c r="J22" s="1"/>
      <x:c r="K22" s="1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.220000267028809" hidden="0" customWidth="1"/>
    <x:col min="3" max="3" width="7.78000020980835" hidden="0" customWidth="1"/>
    <x:col min="4" max="4" width="27.780000686645508" hidden="0" customWidth="1"/>
    <x:col min="5" max="5" width="31.110000610351562" hidden="0" customWidth="1"/>
    <x:col min="6" max="6" width="40" hidden="0" customWidth="1"/>
    <x:col min="7" max="7" width="40" hidden="0" customWidth="1"/>
    <x:col min="8" max="8" width="28.889999389648438" hidden="0" customWidth="1"/>
    <x:col min="9" max="9" width="20" hidden="0" customWidth="1"/>
    <x:col min="10" max="10" width="23.329999923706055" hidden="0" customWidth="1"/>
    <x:col min="11" max="11" width="23.329999923706055" hidden="0" customWidth="1"/>
    <x:col min="12" max="12" width="11.670000076293945" hidden="0" customWidth="1"/>
    <x:col min="13" max="13" width="13.329999923706055" hidden="0" customWidth="1"/>
    <x:col min="14" max="14" width="12.779999732971191" hidden="0" customWidth="1"/>
    <x:col min="15" max="15" width="28.889999389648438" hidden="0" customWidth="1"/>
    <x:col min="16" max="16" width="20" hidden="0" customWidth="1"/>
    <x:col min="17" max="17" width="28.889999389648438" hidden="0" customWidth="1"/>
  </x:cols>
  <x:sheetData>
    <x:row r="1" ht="15" hidden="0" customHeight="1">
      <x:c r="A1" s="15" t="str">
        <x:v>Case ID</x:v>
      </x:c>
      <x:c r="B1" s="16" t="str">
        <x:v>Area</x:v>
      </x:c>
      <x:c r="C1" s="16" t="str">
        <x:v>Priority</x:v>
      </x:c>
      <x:c r="D1" s="16" t="str">
        <x:v>Scenario</x:v>
      </x:c>
      <x:c r="E1" s="16" t="str">
        <x:v>Preconditions / Data</x:v>
      </x:c>
      <x:c r="F1" s="16" t="str">
        <x:v>Manual Steps</x:v>
      </x:c>
      <x:c r="G1" s="16" t="str">
        <x:v>Expected Results</x:v>
      </x:c>
      <x:c r="H1" s="16" t="str">
        <x:v>Post-Checks / Evidence</x:v>
      </x:c>
      <x:c r="I1" s="16" t="str">
        <x:v>Source Tests</x:v>
      </x:c>
      <x:c r="J1" s="16" t="str">
        <x:v>Source Code</x:v>
      </x:c>
      <x:c r="K1" s="16" t="str">
        <x:v>QA Notes</x:v>
      </x:c>
      <x:c r="L1" s="16" t="str">
        <x:v>Status</x:v>
      </x:c>
      <x:c r="M1" s="16" t="str">
        <x:v>Owner</x:v>
      </x:c>
      <x:c r="N1" s="16" t="str">
        <x:v>Date Tested</x:v>
      </x:c>
      <x:c r="O1" s="16" t="str">
        <x:v>Actual Result</x:v>
      </x:c>
      <x:c r="P1" s="16" t="str">
        <x:v>Defect Link</x:v>
      </x:c>
      <x:c r="Q1" s="17" t="str">
        <x:v>Execution Notes</x:v>
      </x:c>
    </x:row>
    <x:row r="2" ht="60" hidden="0" customHeight="1">
      <x:c r="A2" s="24" t="str">
        <x:v>PAY-001</x:v>
      </x:c>
      <x:c r="B2" s="25" t="str">
        <x:v>Payments</x:v>
      </x:c>
      <x:c r="C2" s="25" t="str">
        <x:v>P0</x:v>
      </x:c>
      <x:c r="D2" s="19" t="str">
        <x:v>Single contado order paid fully with cash</x:v>
      </x:c>
      <x:c r="E2" s="19" t="str">
        <x:v>Client has a pending contado order with total_amount = 100.00 and no existing payments.</x:v>
      </x:c>
      <x:c r="F2" s="19" t="str">
        <x:v>1. Open the order payment screen for the order.
2. Use amount 100.00 and payment method Efectivo/cash.
3. Submit the payment.
4. Open the order and client detail payment history.</x:v>
      </x:c>
      <x:c r="G2" s="19" t="str">
        <x:v>- Response/UI indicates success.
- A completed Payment exists for 100.00 with method cash.
- Order remains payable/paid based on total_paid, and no balance or debt movement is created.</x:v>
      </x:c>
      <x:c r="H2" s="19" t="str">
        <x:v>Check Payment admin/list, order total_paid, and client payment history.</x:v>
      </x:c>
      <x:c r="I2" s="19" t="str">
        <x:v>payment/tests.py:76, payment/tests.py:118</x:v>
      </x:c>
      <x:c r="J2" s="19" t="str">
        <x:v>payment/services.py:285, payment/services.py:68, orders/views.py:113</x:v>
      </x:c>
      <x:c r="K2" s="19" t="str"/>
      <x:c r="L2" s="19" t="str">
        <x:v>Not Started</x:v>
      </x:c>
      <x:c r="M2" s="19" t="str"/>
      <x:c r="N2" s="28"/>
      <x:c r="O2" s="19" t="str"/>
      <x:c r="P2" s="19" t="str"/>
      <x:c r="Q2" s="20" t="str"/>
    </x:row>
    <x:row r="3" ht="72" hidden="0" customHeight="1">
      <x:c r="A3" s="24" t="str">
        <x:v>PAY-002</x:v>
      </x:c>
      <x:c r="B3" s="25" t="str">
        <x:v>Payments</x:v>
      </x:c>
      <x:c r="C3" s="25" t="str">
        <x:v>P0</x:v>
      </x:c>
      <x:c r="D3" s="19" t="str">
        <x:v>Split payment uses client balance plus another method</x:v>
      </x:c>
      <x:c r="E3" s="19" t="str">
        <x:v>Client balance = 30.00. Contado order total_amount = 50.00.</x:v>
      </x:c>
      <x:c r="F3" s="19" t="str">
        <x:v>1. Open order checkout/create order screen.
2. Confirm payment breakdown shows 30.00 from saldo and 20.00 remaining.
3. Choose cash/bank transfer for the remaining payment method.
4. Complete payment.</x:v>
      </x:c>
      <x:c r="G3" s="19" t="str">
        <x:v>- Two payments are created: balance 30.00 and selected method 20.00.
- Client balance decreases to 0.00.
- BalanceTransaction exists with transaction_type payment for 30.00.
- Order is marked COMPLETED.</x:v>
      </x:c>
      <x:c r="H3" s="19" t="str">
        <x:v>Client detail payment history should show the balance deduction and external payment.</x:v>
      </x:c>
      <x:c r="I3" s="19" t="str">
        <x:v>payment/tests.py:56, orders/tests.py:1443</x:v>
      </x:c>
      <x:c r="J3" s="19" t="str">
        <x:v>payment/services.py:216, payment/services.py:68, orders/static/orders/js/create_order.js:1075</x:v>
      </x:c>
      <x:c r="K3" s="19" t="str"/>
      <x:c r="L3" s="19" t="str">
        <x:v>Not Started</x:v>
      </x:c>
      <x:c r="M3" s="19" t="str"/>
      <x:c r="N3" s="28"/>
      <x:c r="O3" s="19" t="str"/>
      <x:c r="P3" s="19" t="str"/>
      <x:c r="Q3" s="20" t="str"/>
    </x:row>
    <x:row r="4" ht="60" hidden="0" customHeight="1">
      <x:c r="A4" s="24" t="str">
        <x:v>PAY-003</x:v>
      </x:c>
      <x:c r="B4" s="25" t="str">
        <x:v>Payments</x:v>
      </x:c>
      <x:c r="C4" s="25" t="str">
        <x:v>P0</x:v>
      </x:c>
      <x:c r="D4" s="19" t="str">
        <x:v>Split payment total mismatch is rejected</x:v>
      </x:c>
      <x:c r="E4" s="19" t="str">
        <x:v>Contado order total_amount = 100.00.</x:v>
      </x:c>
      <x:c r="F4" s="19" t="str">
        <x:v>1. Submit a split payment payload or UI selection whose amounts sum to 90.00.
2. Try to complete the order.</x:v>
      </x:c>
      <x:c r="G4" s="19" t="str">
        <x:v>- Payment is rejected with a message that the payment sum must equal the order total.
- No new payments are created.
- Order status does not move to COMPLETED from this submission.</x:v>
      </x:c>
      <x:c r="H4" s="19" t="str">
        <x:v>Check order payments count before and after.</x:v>
      </x:c>
      <x:c r="I4" s="19" t="str">
        <x:v>payment/tests.py:56, payment/tests.py:272</x:v>
      </x:c>
      <x:c r="J4" s="19" t="str">
        <x:v>payment/services.py:216</x:v>
      </x:c>
      <x:c r="K4" s="19" t="str"/>
      <x:c r="L4" s="19" t="str">
        <x:v>Not Started</x:v>
      </x:c>
      <x:c r="M4" s="19" t="str"/>
      <x:c r="N4" s="28"/>
      <x:c r="O4" s="19" t="str"/>
      <x:c r="P4" s="19" t="str"/>
      <x:c r="Q4" s="20" t="str"/>
    </x:row>
    <x:row r="5" ht="48" hidden="0" customHeight="1">
      <x:c r="A5" s="24" t="str">
        <x:v>PAY-004</x:v>
      </x:c>
      <x:c r="B5" s="25" t="str">
        <x:v>Payments</x:v>
      </x:c>
      <x:c r="C5" s="25" t="str">
        <x:v>P0</x:v>
      </x:c>
      <x:c r="D5" s="19" t="str">
        <x:v>Balance payment with insufficient saldo is rejected</x:v>
      </x:c>
      <x:c r="E5" s="19" t="str">
        <x:v>Client balance = 30.00. Order total or payment amount = 50.00.</x:v>
      </x:c>
      <x:c r="F5" s="19" t="str">
        <x:v>1. Attempt to pay 50.00 using Saldo/balance.
2. Submit the payment.</x:v>
      </x:c>
      <x:c r="G5" s="19" t="str">
        <x:v>- Payment is rejected with an insufficient balance message.
- No completed balance Payment is created.
- Client balance remains 30.00.</x:v>
      </x:c>
      <x:c r="H5" s="19" t="str">
        <x:v>Check client balance and BalanceTransaction list.</x:v>
      </x:c>
      <x:c r="I5" s="19" t="str">
        <x:v>orders/tests.py:1317, tests/test_balance_credit_integration.py:190</x:v>
      </x:c>
      <x:c r="J5" s="19" t="str">
        <x:v>payment/services.py:68, payment/models.py:69, clients/services/balance_service.py:120</x:v>
      </x:c>
      <x:c r="K5" s="19" t="str"/>
      <x:c r="L5" s="19" t="str">
        <x:v>Not Started</x:v>
      </x:c>
      <x:c r="M5" s="19" t="str"/>
      <x:c r="N5" s="28"/>
      <x:c r="O5" s="19" t="str"/>
      <x:c r="P5" s="19" t="str"/>
      <x:c r="Q5" s="20" t="str"/>
    </x:row>
    <x:row r="6" ht="60" hidden="0" customHeight="1">
      <x:c r="A6" s="24" t="str">
        <x:v>PAY-005</x:v>
      </x:c>
      <x:c r="B6" s="25" t="str">
        <x:v>Payments</x:v>
      </x:c>
      <x:c r="C6" s="25" t="str">
        <x:v>P1</x:v>
      </x:c>
      <x:c r="D6" s="19" t="str">
        <x:v>Cantidad cobrada greater than order total adds excess to client balance</x:v>
      </x:c>
      <x:c r="E6" s="19" t="str">
        <x:v>Contado order total_amount = 100.00. Client current balance known.</x:v>
      </x:c>
      <x:c r="F6" s="19" t="str">
        <x:v>1. Complete checkout with cantidad_cobrada = 120.00.
2. Use a valid payment method for the order total.
3. Open client detail after payment.</x:v>
      </x:c>
      <x:c r="G6" s="19" t="str">
        <x:v>- Payment succeeds.
- Order cantidad_cobrada is 120.00.
- Client balance increases by 20.00.
- BalanceTransaction transaction_type is added_in_order and references the order.</x:v>
      </x:c>
      <x:c r="H6" s="19" t="str">
        <x:v>Verify response shows balance_added/new_client_balance when available.</x:v>
      </x:c>
      <x:c r="I6" s="19" t="str">
        <x:v>payment/tests.py:43</x:v>
      </x:c>
      <x:c r="J6" s="19" t="str">
        <x:v>payment/services.py:337, clients/services/balance_service.py:59</x:v>
      </x:c>
      <x:c r="K6" s="19" t="str"/>
      <x:c r="L6" s="19" t="str">
        <x:v>Not Started</x:v>
      </x:c>
      <x:c r="M6" s="19" t="str"/>
      <x:c r="N6" s="28"/>
      <x:c r="O6" s="19" t="str"/>
      <x:c r="P6" s="19" t="str"/>
      <x:c r="Q6" s="20" t="str"/>
    </x:row>
    <x:row r="7" ht="60" hidden="0" customHeight="1">
      <x:c r="A7" s="24" t="str">
        <x:v>PAY-006</x:v>
      </x:c>
      <x:c r="B7" s="25" t="str">
        <x:v>Payments</x:v>
      </x:c>
      <x:c r="C7" s="25" t="str">
        <x:v>P0</x:v>
      </x:c>
      <x:c r="D7" s="19" t="str">
        <x:v>Cantidad cobrada below order total is rejected</x:v>
      </x:c>
      <x:c r="E7" s="19" t="str">
        <x:v>Order total_amount = 100.00.</x:v>
      </x:c>
      <x:c r="F7" s="19" t="str">
        <x:v>1. Attempt checkout with cantidad_cobrada = 99.99.
2. Submit payment.</x:v>
      </x:c>
      <x:c r="G7" s="19" t="str">
        <x:v>- Submission is rejected.
- Error states cantidad cobrada cannot be less than order total.
- No balance is added and no successful payment should be recorded from this submission.</x:v>
      </x:c>
      <x:c r="H7" s="19" t="str">
        <x:v>Compare payments and balance before/after.</x:v>
      </x:c>
      <x:c r="I7" s="19" t="str">
        <x:v>payment/tests.py:35</x:v>
      </x:c>
      <x:c r="J7" s="19" t="str">
        <x:v>payment/services.py:33, payment/services.py:337</x:v>
      </x:c>
      <x:c r="K7" s="19" t="str"/>
      <x:c r="L7" s="19" t="str">
        <x:v>Not Started</x:v>
      </x:c>
      <x:c r="M7" s="19" t="str"/>
      <x:c r="N7" s="28"/>
      <x:c r="O7" s="19" t="str"/>
      <x:c r="P7" s="19" t="str"/>
      <x:c r="Q7" s="20" t="str"/>
    </x:row>
    <x:row r="8" ht="36" hidden="0" customHeight="1">
      <x:c r="A8" s="24" t="str">
        <x:v>PAY-007</x:v>
      </x:c>
      <x:c r="B8" s="25" t="str">
        <x:v>Payments</x:v>
      </x:c>
      <x:c r="C8" s="25" t="str">
        <x:v>P1</x:v>
      </x:c>
      <x:c r="D8" s="19" t="str">
        <x:v>Invalid settlement payment method is rejected</x:v>
      </x:c>
      <x:c r="E8" s="19" t="str">
        <x:v>Order exists and user is logged in.</x:v>
      </x:c>
      <x:c r="F8" s="19" t="str">
        <x:v>1. Submit a payment request with a method outside the allowed set.
2. Observe the response.</x:v>
      </x:c>
      <x:c r="G8" s="19" t="str">
        <x:v>- Payment is rejected with Metodo de pago invalido para este flujo.
- No Payment row is persisted.</x:v>
      </x:c>
      <x:c r="H8" s="19" t="str">
        <x:v>Check payment count for the order.</x:v>
      </x:c>
      <x:c r="I8" s="19" t="str">
        <x:v>payment/tests.py:153</x:v>
      </x:c>
      <x:c r="J8" s="19" t="str">
        <x:v>payment/services.py:12, payment/services.py:68</x:v>
      </x:c>
      <x:c r="K8" s="19" t="str"/>
      <x:c r="L8" s="19" t="str">
        <x:v>Not Started</x:v>
      </x:c>
      <x:c r="M8" s="19" t="str"/>
      <x:c r="N8" s="28"/>
      <x:c r="O8" s="19" t="str"/>
      <x:c r="P8" s="19" t="str"/>
      <x:c r="Q8" s="20" t="str"/>
    </x:row>
    <x:row r="9" ht="36" hidden="0" customHeight="1">
      <x:c r="A9" s="24" t="str">
        <x:v>PAY-008</x:v>
      </x:c>
      <x:c r="B9" s="25" t="str">
        <x:v>Payments</x:v>
      </x:c>
      <x:c r="C9" s="25" t="str">
        <x:v>P2</x:v>
      </x:c>
      <x:c r="D9" s="19" t="str">
        <x:v>Checkout notes are persisted on the order</x:v>
      </x:c>
      <x:c r="E9" s="19" t="str">
        <x:v>Pending order exists.</x:v>
      </x:c>
      <x:c r="F9" s="19" t="str">
        <x:v>1. Enter an order note during checkout/payment.
2. Complete or submit the payment request.
3. Reopen the order.</x:v>
      </x:c>
      <x:c r="G9" s="19" t="str">
        <x:v>- Order notes are saved trimmed.
- Blank notes are stored as empty/null.</x:v>
      </x:c>
      <x:c r="H9" s="19" t="str">
        <x:v>Check order detail or admin field.</x:v>
      </x:c>
      <x:c r="I9" s="19" t="str">
        <x:v>orders/tests.py:333, orders/tests.py:347</x:v>
      </x:c>
      <x:c r="J9" s="19" t="str">
        <x:v>payment/services.py:33, orders/views.py:463</x:v>
      </x:c>
      <x:c r="K9" s="19" t="str"/>
      <x:c r="L9" s="19" t="str">
        <x:v>Not Started</x:v>
      </x:c>
      <x:c r="M9" s="19" t="str"/>
      <x:c r="N9" s="28"/>
      <x:c r="O9" s="19" t="str"/>
      <x:c r="P9" s="19" t="str"/>
      <x:c r="Q9" s="20" t="str"/>
    </x:row>
    <x:row r="10" ht="36" hidden="0" customHeight="1">
      <x:c r="A10" s="24" t="str">
        <x:v>PAY-009</x:v>
      </x:c>
      <x:c r="B10" s="25" t="str">
        <x:v>Payments</x:v>
      </x:c>
      <x:c r="C10" s="25" t="str">
        <x:v>P1</x:v>
      </x:c>
      <x:c r="D10" s="19" t="str">
        <x:v>Completed pending_credit marker is not counted as money paid</x:v>
      </x:c>
      <x:c r="E10" s="19" t="str">
        <x:v>Credit order has only a pending_credit payment marker changed to completed and no cash/balance payment.</x:v>
      </x:c>
      <x:c r="F10" s="19" t="str">
        <x:v>1. Open the order or invoice/payment totals.
2. Compare order total_paid against total_amount.</x:v>
      </x:c>
      <x:c r="G10" s="19" t="str">
        <x:v>- Order total_paid is 0.00 for the pending_credit marker.
- Order still appears unpaid until a non-pending_credit completed payment exists.</x:v>
      </x:c>
      <x:c r="H10" s="19" t="str">
        <x:v>Check unpaid order filters and invoice total_payments.</x:v>
      </x:c>
      <x:c r="I10" s="19" t="str">
        <x:v>payment/tests.py:284</x:v>
      </x:c>
      <x:c r="J10" s="19" t="str">
        <x:v>invoice/models.py:47, invoice/models.py:136, payment/models.py:49</x:v>
      </x:c>
      <x:c r="K10" s="19" t="str"/>
      <x:c r="L10" s="19" t="str">
        <x:v>Not Started</x:v>
      </x:c>
      <x:c r="M10" s="19" t="str"/>
      <x:c r="N10" s="28"/>
      <x:c r="O10" s="19" t="str"/>
      <x:c r="P10" s="19" t="str"/>
      <x:c r="Q10" s="20" t="str"/>
    </x:row>
    <x:row r="11" ht="60" hidden="0" customHeight="1">
      <x:c r="A11" s="24" t="str">
        <x:v>BAL-001</x:v>
      </x:c>
      <x:c r="B11" s="25" t="str">
        <x:v>Balance</x:v>
      </x:c>
      <x:c r="C11" s="25" t="str">
        <x:v>P0</x:v>
      </x:c>
      <x:c r="D11" s="19" t="str">
        <x:v>Manual balance deposit updates saldo and audit trail</x:v>
      </x:c>
      <x:c r="E11" s="19" t="str">
        <x:v>Active client exists. QA user is logged in.</x:v>
      </x:c>
      <x:c r="F11" s="19" t="str">
        <x:v>1. Open client Add Balance/Gestionar saldo.
2. Select transaction type Deposito.
3. Enter amount 200.00 and detailed notes of at least 10 characters.
4. Submit and open client detail payment history.</x:v>
      </x:c>
      <x:c r="G11" s="19" t="str">
        <x:v>- Client balance increases by 200.00.
- BalanceTransaction is created with before/after balances, created_by, and notes.
- Success message shows updated saldo.</x:v>
      </x:c>
      <x:c r="H11" s="19" t="str">
        <x:v>Verify in BalanceTransaction admin/history.</x:v>
      </x:c>
      <x:c r="I11" s="19" t="str">
        <x:v>tests/test_balance_credit_history.py:1</x:v>
      </x:c>
      <x:c r="J11" s="19" t="str">
        <x:v>clients/views.py:942, clients/forms.py:12, clients/services/balance_service.py:59</x:v>
      </x:c>
      <x:c r="K11" s="19" t="str"/>
      <x:c r="L11" s="19" t="str">
        <x:v>Not Started</x:v>
      </x:c>
      <x:c r="M11" s="19" t="str"/>
      <x:c r="N11" s="28"/>
      <x:c r="O11" s="19" t="str"/>
      <x:c r="P11" s="19" t="str"/>
      <x:c r="Q11" s="20" t="str"/>
    </x:row>
    <x:row r="12" ht="36" hidden="0" customHeight="1">
      <x:c r="A12" s="24" t="str">
        <x:v>BAL-002</x:v>
      </x:c>
      <x:c r="B12" s="25" t="str">
        <x:v>Balance</x:v>
      </x:c>
      <x:c r="C12" s="25" t="str">
        <x:v>P1</x:v>
      </x:c>
      <x:c r="D12" s="19" t="str">
        <x:v>Manual balance deposit requires positive amount and meaningful notes</x:v>
      </x:c>
      <x:c r="E12" s="19" t="str">
        <x:v>Active client exists.</x:v>
      </x:c>
      <x:c r="F12" s="19" t="str">
        <x:v>1. Open Add Balance.
2. Try amount 0.00 or notes shorter than 10 characters.
3. Submit.</x:v>
      </x:c>
      <x:c r="G12" s="19" t="str">
        <x:v>- Form validation blocks submission.
- No BalanceTransaction is created.
- Client balance remains unchanged.</x:v>
      </x:c>
      <x:c r="H12" s="19" t="str">
        <x:v>Confirm validation messages and no new transaction.</x:v>
      </x:c>
      <x:c r="I12" s="19" t="str">
        <x:v>tests/test_balance_credit_history.py:1</x:v>
      </x:c>
      <x:c r="J12" s="19" t="str">
        <x:v>clients/forms.py:12, clients/services/balance_service.py:59</x:v>
      </x:c>
      <x:c r="K12" s="19" t="str"/>
      <x:c r="L12" s="19" t="str">
        <x:v>Not Started</x:v>
      </x:c>
      <x:c r="M12" s="19" t="str"/>
      <x:c r="N12" s="28"/>
      <x:c r="O12" s="19" t="str"/>
      <x:c r="P12" s="19" t="str"/>
      <x:c r="Q12" s="20" t="str"/>
    </x:row>
    <x:row r="13" ht="48" hidden="0" customHeight="1">
      <x:c r="A13" s="24" t="str">
        <x:v>DEBT-001</x:v>
      </x:c>
      <x:c r="B13" s="25" t="str">
        <x:v>Debt</x:v>
      </x:c>
      <x:c r="C13" s="25" t="str">
        <x:v>P0</x:v>
      </x:c>
      <x:c r="D13" s="19" t="str">
        <x:v>Manual debt payment reduces current debt</x:v>
      </x:c>
      <x:c r="E13" s="19" t="str">
        <x:v>Client current_debt = 300.00 and credit_limit is set.</x:v>
      </x:c>
      <x:c r="F13" s="19" t="str">
        <x:v>1. Open client Gestionar credito/pay-credit.
2. Select Pago de deuda.
3. Enter amount 100.00, description, and detailed notes.
4. Submit and open client detail.</x:v>
      </x:c>
      <x:c r="G13" s="19" t="str">
        <x:v>- Client current_debt decreases to 200.00.
- CreditTransaction transaction_type payment is created with debt_before 300.00 and debt_after 200.00.
- Available credit increases by 100.00.</x:v>
      </x:c>
      <x:c r="H13" s="19" t="str">
        <x:v>Verify CreditTransaction and global credit report totals.</x:v>
      </x:c>
      <x:c r="I13" s="19" t="str">
        <x:v>tests/test_balance_credit_history.py:1</x:v>
      </x:c>
      <x:c r="J13" s="19" t="str">
        <x:v>clients/views.py:854, clients/forms.py:64, clients/services/balance_service.py:261</x:v>
      </x:c>
      <x:c r="K13" s="19" t="str"/>
      <x:c r="L13" s="19" t="str">
        <x:v>Not Started</x:v>
      </x:c>
      <x:c r="M13" s="19" t="str"/>
      <x:c r="N13" s="28"/>
      <x:c r="O13" s="19" t="str"/>
      <x:c r="P13" s="19" t="str"/>
      <x:c r="Q13" s="20" t="str"/>
    </x:row>
    <x:row r="14" ht="60" hidden="0" customHeight="1">
      <x:c r="A14" s="24" t="str">
        <x:v>DEBT-002</x:v>
      </x:c>
      <x:c r="B14" s="25" t="str">
        <x:v>Debt</x:v>
      </x:c>
      <x:c r="C14" s="25" t="str">
        <x:v>P0</x:v>
      </x:c>
      <x:c r="D14" s="19" t="str">
        <x:v>Pay debt from client balance updates both ledgers</x:v>
      </x:c>
      <x:c r="E14" s="19" t="str">
        <x:v>Client balance = 150.00 and current_debt = 200.00.</x:v>
      </x:c>
      <x:c r="F14" s="19" t="str">
        <x:v>1. Open Gestionar credito/pay-credit.
2. Select Pago con Saldo.
3. Enter amount 100.00 with valid description and notes.
4. Submit.</x:v>
      </x:c>
      <x:c r="G14" s="19" t="str">
        <x:v>- Client balance decreases to 50.00.
- Client current_debt decreases to 100.00.
- BalanceTransaction transaction_type payment is created.
- CreditTransaction transaction_type payment_from_balance is created.</x:v>
      </x:c>
      <x:c r="H14" s="19" t="str">
        <x:v>Check both history sections on client detail.</x:v>
      </x:c>
      <x:c r="I14" s="19" t="str">
        <x:v>tests/test_balance_credit_history.py:1</x:v>
      </x:c>
      <x:c r="J14" s="19" t="str">
        <x:v>clients/views.py:854, clients/forms.py:64, clients/services/balance_service.py:488</x:v>
      </x:c>
      <x:c r="K14" s="19" t="str"/>
      <x:c r="L14" s="19" t="str">
        <x:v>Not Started</x:v>
      </x:c>
      <x:c r="M14" s="19" t="str"/>
      <x:c r="N14" s="28"/>
      <x:c r="O14" s="19" t="str"/>
      <x:c r="P14" s="19" t="str"/>
      <x:c r="Q14" s="20" t="str"/>
    </x:row>
    <x:row r="15" ht="48" hidden="0" customHeight="1">
      <x:c r="A15" s="24" t="str">
        <x:v>DEBT-003</x:v>
      </x:c>
      <x:c r="B15" s="25" t="str">
        <x:v>Debt</x:v>
      </x:c>
      <x:c r="C15" s="25" t="str">
        <x:v>P1</x:v>
      </x:c>
      <x:c r="D15" s="19" t="str">
        <x:v>Pay debt from balance rejects insufficient saldo</x:v>
      </x:c>
      <x:c r="E15" s="19" t="str">
        <x:v>Client balance = 50.00 and current_debt = 200.00.</x:v>
      </x:c>
      <x:c r="F15" s="19" t="str">
        <x:v>1. Open Gestionar credito/pay-credit.
2. Select Pago con Saldo.
3. Enter amount 100.00.
4. Submit.</x:v>
      </x:c>
      <x:c r="G15" s="19" t="str">
        <x:v>- Form or service blocks submission with Saldo insuficiente.
- Client balance and debt remain unchanged.
- No paired ledger transactions are created.</x:v>
      </x:c>
      <x:c r="H15" s="19" t="str">
        <x:v>Check BalanceTransaction and CreditTransaction counts.</x:v>
      </x:c>
      <x:c r="I15" s="19" t="str">
        <x:v>tests/test_balance_credit_history.py:1</x:v>
      </x:c>
      <x:c r="J15" s="19" t="str">
        <x:v>clients/forms.py:64, clients/services/balance_service.py:488</x:v>
      </x:c>
      <x:c r="K15" s="19" t="str"/>
      <x:c r="L15" s="19" t="str">
        <x:v>Not Started</x:v>
      </x:c>
      <x:c r="M15" s="19" t="str"/>
      <x:c r="N15" s="28"/>
      <x:c r="O15" s="19" t="str"/>
      <x:c r="P15" s="19" t="str"/>
      <x:c r="Q15" s="20" t="str"/>
    </x:row>
    <x:row r="16" ht="36" hidden="0" customHeight="1">
      <x:c r="A16" s="24" t="str">
        <x:v>DEBT-004</x:v>
      </x:c>
      <x:c r="B16" s="25" t="str">
        <x:v>Debt</x:v>
      </x:c>
      <x:c r="C16" s="25" t="str">
        <x:v>P1</x:v>
      </x:c>
      <x:c r="D16" s="19" t="str">
        <x:v>Debt payment cannot exceed current debt</x:v>
      </x:c>
      <x:c r="E16" s="19" t="str">
        <x:v>Client current_debt = 80.00.</x:v>
      </x:c>
      <x:c r="F16" s="19" t="str">
        <x:v>1. Open Gestionar credito/pay-credit.
2. Select Pago de deuda or Condonacion de deuda.
3. Enter amount 100.00 and submit.</x:v>
      </x:c>
      <x:c r="G16" s="19" t="str">
        <x:v>- Validation blocks submission because amount exceeds current debt.
- Debt remains 80.00.</x:v>
      </x:c>
      <x:c r="H16" s="19" t="str">
        <x:v>Confirm field-level amount error.</x:v>
      </x:c>
      <x:c r="I16" s="19" t="str">
        <x:v>tests/test_balance_credit_history.py:1</x:v>
      </x:c>
      <x:c r="J16" s="19" t="str">
        <x:v>clients/forms.py:64</x:v>
      </x:c>
      <x:c r="K16" s="19" t="str"/>
      <x:c r="L16" s="19" t="str">
        <x:v>Not Started</x:v>
      </x:c>
      <x:c r="M16" s="19" t="str"/>
      <x:c r="N16" s="28"/>
      <x:c r="O16" s="19" t="str"/>
      <x:c r="P16" s="19" t="str"/>
      <x:c r="Q16" s="20" t="str"/>
    </x:row>
    <x:row r="17" ht="60" hidden="0" customHeight="1">
      <x:c r="A17" s="24" t="str">
        <x:v>DEBT-005</x:v>
      </x:c>
      <x:c r="B17" s="25" t="str">
        <x:v>Debt</x:v>
      </x:c>
      <x:c r="C17" s="25" t="str">
        <x:v>P1</x:v>
      </x:c>
      <x:c r="D17" s="19" t="str">
        <x:v>Credit limit change creates audit transaction</x:v>
      </x:c>
      <x:c r="E17" s="19" t="str">
        <x:v>Client credit_limit = 500.00 and current_debt = 100.00.</x:v>
      </x:c>
      <x:c r="F17" s="19" t="str">
        <x:v>1. Open Gestionar credito/pay-credit.
2. Select Cambio de limite de credito.
3. Enter new credit limit 800.00 and valid notes.
4. Submit.</x:v>
      </x:c>
      <x:c r="G17" s="19" t="str">
        <x:v>- Client credit_limit updates to 800.00.
- CreditTransaction transaction_type limit_change is created.
- CreditTransaction records credit_limit_before 500.00 and credit_limit_after 800.00.</x:v>
      </x:c>
      <x:c r="H17" s="19" t="str">
        <x:v>Check client credit panel and credit report available credit.</x:v>
      </x:c>
      <x:c r="I17" s="19" t="str">
        <x:v>tests/test_balance_credit_history.py:1</x:v>
      </x:c>
      <x:c r="J17" s="19" t="str">
        <x:v>clients/views.py:854, clients/services/balance_service.py:431</x:v>
      </x:c>
      <x:c r="K17" s="19" t="str"/>
      <x:c r="L17" s="19" t="str">
        <x:v>Not Started</x:v>
      </x:c>
      <x:c r="M17" s="19" t="str"/>
      <x:c r="N17" s="28"/>
      <x:c r="O17" s="19" t="str"/>
      <x:c r="P17" s="19" t="str"/>
      <x:c r="Q17" s="20" t="str"/>
    </x:row>
    <x:row r="18" ht="72" hidden="0" customHeight="1">
      <x:c r="A18" s="24" t="str">
        <x:v>CRED-001</x:v>
      </x:c>
      <x:c r="B18" s="25" t="str">
        <x:v>Credit Orders</x:v>
      </x:c>
      <x:c r="C18" s="25" t="str">
        <x:v>P0</x:v>
      </x:c>
      <x:c r="D18" s="19" t="str">
        <x:v>Register credit order with no balance</x:v>
      </x:c>
      <x:c r="E18" s="19" t="str">
        <x:v>Client balance = 0.00, credit_limit = 500.00, current_debt = 0.00, can_pay_with_credit = true. Order type credito, total 100.00.</x:v>
      </x:c>
      <x:c r="F18" s="19" t="str">
        <x:v>1. Open order checkout.
2. Select order type credito.
3. Finish order without selecting a cash payment method.
4. Open client detail and order payments.</x:v>
      </x:c>
      <x:c r="G18" s="19" t="str">
        <x:v>- Order is marked COMPLETED.
- A Payment marker exists with method pending_credit, status pending, amount 100.00.
- Client current_debt increases to 100.00.
- CreditTransaction purchase exists and references the order/payment.</x:v>
      </x:c>
      <x:c r="H18" s="19" t="str">
        <x:v>Confirm available credit decreases to 400.00.</x:v>
      </x:c>
      <x:c r="I18" s="19" t="str">
        <x:v>payment/tests.py:92, payment/tests.py:344</x:v>
      </x:c>
      <x:c r="J18" s="19" t="str">
        <x:v>payment/services.py:403, payment/services.py:423, clients/services/balance_service.py:184</x:v>
      </x:c>
      <x:c r="K18" s="19" t="str"/>
      <x:c r="L18" s="19" t="str">
        <x:v>Not Started</x:v>
      </x:c>
      <x:c r="M18" s="19" t="str"/>
      <x:c r="N18" s="28"/>
      <x:c r="O18" s="19" t="str"/>
      <x:c r="P18" s="19" t="str"/>
      <x:c r="Q18" s="20" t="str"/>
    </x:row>
    <x:row r="19" ht="48" hidden="0" customHeight="1">
      <x:c r="A19" s="24" t="str">
        <x:v>CRED-002</x:v>
      </x:c>
      <x:c r="B19" s="25" t="str">
        <x:v>Credit Orders</x:v>
      </x:c>
      <x:c r="C19" s="25" t="str">
        <x:v>P0</x:v>
      </x:c>
      <x:c r="D19" s="19" t="str">
        <x:v>Credit order uses saldo first and credits only the remainder</x:v>
      </x:c>
      <x:c r="E19" s="19" t="str">
        <x:v>Client balance = 30.00, credit_limit = 100.00, current_debt = 0.00. Credit order total = 50.00.</x:v>
      </x:c>
      <x:c r="F19" s="19" t="str">
        <x:v>1. Create a credit order for 50.00.
2. Finish/register the credit order.
3. Open payments and ledgers.</x:v>
      </x:c>
      <x:c r="G19" s="19" t="str">
        <x:v>- Balance payment of 30.00 is created and completed.
- pending_credit marker is created for 20.00.
- Client balance becomes 0.00.
- Client current_debt becomes 20.00.</x:v>
      </x:c>
      <x:c r="H19" s="19" t="str">
        <x:v>Check both balance and credit transaction references.</x:v>
      </x:c>
      <x:c r="I19" s="19" t="str">
        <x:v>orders/tests.py:1443, payment/tests.py:396</x:v>
      </x:c>
      <x:c r="J19" s="19" t="str">
        <x:v>payment/services.py:423, payment/services.py:68, clients/services/balance_service.py:184</x:v>
      </x:c>
      <x:c r="K19" s="19" t="str"/>
      <x:c r="L19" s="19" t="str">
        <x:v>Not Started</x:v>
      </x:c>
      <x:c r="M19" s="19" t="str"/>
      <x:c r="N19" s="28"/>
      <x:c r="O19" s="19" t="str"/>
      <x:c r="P19" s="19" t="str"/>
      <x:c r="Q19" s="20" t="str"/>
    </x:row>
    <x:row r="20" ht="60" hidden="0" customHeight="1">
      <x:c r="A20" s="24" t="str">
        <x:v>CRED-003</x:v>
      </x:c>
      <x:c r="B20" s="25" t="str">
        <x:v>Credit Orders</x:v>
      </x:c>
      <x:c r="C20" s="25" t="str">
        <x:v>P1</x:v>
      </x:c>
      <x:c r="D20" s="19" t="str">
        <x:v>Credit order fully covered by saldo creates no debt</x:v>
      </x:c>
      <x:c r="E20" s="19" t="str">
        <x:v>Client balance = 150.00 and credit order total = 100.00.</x:v>
      </x:c>
      <x:c r="F20" s="19" t="str">
        <x:v>1. Create and finish an order with type credito.
2. Open order payments and client detail.</x:v>
      </x:c>
      <x:c r="G20" s="19" t="str">
        <x:v>- Order completes with balance payment only.
- No pending_credit marker is left pending.
- Client current_debt remains unchanged.
- Response/message says order paid completely with available balance.</x:v>
      </x:c>
      <x:c r="H20" s="19" t="str">
        <x:v>Confirm no CreditTransaction purchase for this order.</x:v>
      </x:c>
      <x:c r="I20" s="19" t="str">
        <x:v>orders/tests.py:1423</x:v>
      </x:c>
      <x:c r="J20" s="19" t="str">
        <x:v>payment/services.py:423</x:v>
      </x:c>
      <x:c r="K20" s="19" t="str"/>
      <x:c r="L20" s="19" t="str">
        <x:v>Not Started</x:v>
      </x:c>
      <x:c r="M20" s="19" t="str"/>
      <x:c r="N20" s="28"/>
      <x:c r="O20" s="19" t="str"/>
      <x:c r="P20" s="19" t="str"/>
      <x:c r="Q20" s="20" t="str"/>
    </x:row>
    <x:row r="21" ht="60" hidden="0" customHeight="1">
      <x:c r="A21" s="24" t="str">
        <x:v>CRED-004</x:v>
      </x:c>
      <x:c r="B21" s="25" t="str">
        <x:v>Credit Orders</x:v>
      </x:c>
      <x:c r="C21" s="25" t="str">
        <x:v>P0</x:v>
      </x:c>
      <x:c r="D21" s="19" t="str">
        <x:v>Emergency credit stop blocks new credit sale</x:v>
      </x:c>
      <x:c r="E21" s="19" t="str">
        <x:v>Client balance = 30.00, credit_limit = 200.00, current_debt = 0.00, can_pay_with_credit = false. Credit order total = 100.00.</x:v>
      </x:c>
      <x:c r="F21" s="19" t="str">
        <x:v>1. Create a credit order for 100.00.
2. Attempt to finish/register as credito.</x:v>
      </x:c>
      <x:c r="G21" s="19" t="str">
        <x:v>- Request is rejected with Cliente no puede pagar con credito.
- Client balance remains 30.00.
- Client current_debt remains 0.00.
- No Payment or CreditTransaction is created.</x:v>
      </x:c>
      <x:c r="H21" s="19" t="str">
        <x:v>This should block even though the numeric credit limit is available.</x:v>
      </x:c>
      <x:c r="I21" s="19" t="str">
        <x:v>payment/tests.py:316, clients/tests_credit_management.py:459</x:v>
      </x:c>
      <x:c r="J21" s="19" t="str">
        <x:v>clients/models.py:199, clients/services/balance_service.py:184, payment/services.py:423</x:v>
      </x:c>
      <x:c r="K21" s="19" t="str"/>
      <x:c r="L21" s="19" t="str">
        <x:v>Not Started</x:v>
      </x:c>
      <x:c r="M21" s="19" t="str"/>
      <x:c r="N21" s="28"/>
      <x:c r="O21" s="19" t="str"/>
      <x:c r="P21" s="19" t="str"/>
      <x:c r="Q21" s="20" t="str"/>
    </x:row>
    <x:row r="22" ht="48" hidden="0" customHeight="1">
      <x:c r="A22" s="24" t="str">
        <x:v>CRED-005</x:v>
      </x:c>
      <x:c r="B22" s="25" t="str">
        <x:v>Credit Orders</x:v>
      </x:c>
      <x:c r="C22" s="25" t="str">
        <x:v>P0</x:v>
      </x:c>
      <x:c r="D22" s="19" t="str">
        <x:v>Credit sale cannot exceed hard limit after applying saldo</x:v>
      </x:c>
      <x:c r="E22" s="19" t="str">
        <x:v>Client balance = 10.00, credit_limit = 100.00, current_debt = 80.00. Credit order total = 50.00.</x:v>
      </x:c>
      <x:c r="F22" s="19" t="str">
        <x:v>1. Attempt to register the order as credito.
2. Observe error and financial state.</x:v>
      </x:c>
      <x:c r="G22" s="19" t="str">
        <x:v>- Request is rejected because sale exceeds credit limit.
- Client balance remains 10.00 and current_debt remains 80.00.
- No payment markers are created.</x:v>
      </x:c>
      <x:c r="H22" s="19" t="str">
        <x:v>Check the available credit shown to the user.</x:v>
      </x:c>
      <x:c r="I22" s="19" t="str">
        <x:v>payment/tests.py:396, clients/tests_credit_management.py:478</x:v>
      </x:c>
      <x:c r="J22" s="19" t="str">
        <x:v>clients/services/balance_service.py:184, payment/services.py:423</x:v>
      </x:c>
      <x:c r="K22" s="19" t="str"/>
      <x:c r="L22" s="19" t="str">
        <x:v>Not Started</x:v>
      </x:c>
      <x:c r="M22" s="19" t="str"/>
      <x:c r="N22" s="28"/>
      <x:c r="O22" s="19" t="str"/>
      <x:c r="P22" s="19" t="str"/>
      <x:c r="Q22" s="20" t="str"/>
    </x:row>
    <x:row r="23" ht="48" hidden="0" customHeight="1">
      <x:c r="A23" s="24" t="str">
        <x:v>CRED-006</x:v>
      </x:c>
      <x:c r="B23" s="25" t="str">
        <x:v>Credit Orders</x:v>
      </x:c>
      <x:c r="C23" s="25" t="str">
        <x:v>P1</x:v>
      </x:c>
      <x:c r="D23" s="19" t="str">
        <x:v>Overdue credit is reported but does not block new credit when limit is available</x:v>
      </x:c>
      <x:c r="E23" s="19" t="str">
        <x:v>Client has overdue credit purchase for 100.00, credit_limit = 500.00, current_debt = 100.00, can_pay_with_credit = true.</x:v>
      </x:c>
      <x:c r="F23" s="19" t="str">
        <x:v>1. Confirm client detail/report shows overdue credit.
2. Create a new credit order for 50.00.
3. Register it as credito.</x:v>
      </x:c>
      <x:c r="G23" s="19" t="str">
        <x:v>- New credit order succeeds.
- Client current_debt becomes 150.00.
- New pending_credit marker exists for 50.00.
- Overdue status remains visible for the older order.</x:v>
      </x:c>
      <x:c r="H23" s="19" t="str">
        <x:v>Check client detail overdue section and global credit report.</x:v>
      </x:c>
      <x:c r="I23" s="19" t="str">
        <x:v>payment/tests.py:344, clients/tests_credit_management.py:497</x:v>
      </x:c>
      <x:c r="J23" s="19" t="str">
        <x:v>clients/services/pending_payment_service.py:94, payment/services.py:423</x:v>
      </x:c>
      <x:c r="K23" s="19" t="str"/>
      <x:c r="L23" s="19" t="str">
        <x:v>Not Started</x:v>
      </x:c>
      <x:c r="M23" s="19" t="str"/>
      <x:c r="N23" s="28"/>
      <x:c r="O23" s="19" t="str"/>
      <x:c r="P23" s="19" t="str"/>
      <x:c r="Q23" s="20" t="str"/>
    </x:row>
    <x:row r="24" ht="48" hidden="0" customHeight="1">
      <x:c r="A24" s="24" t="str">
        <x:v>CRED-007</x:v>
      </x:c>
      <x:c r="B24" s="25" t="str">
        <x:v>Credit Orders</x:v>
      </x:c>
      <x:c r="C24" s="25" t="str">
        <x:v>P1</x:v>
      </x:c>
      <x:c r="D24" s="19" t="str">
        <x:v>Credit order registration is idempotent when pending marker already exists</x:v>
      </x:c>
      <x:c r="E24" s="19" t="str">
        <x:v>Credit order already has a pending_credit payment marker.</x:v>
      </x:c>
      <x:c r="F24" s="19" t="str">
        <x:v>1. Submit/register the same credit order again.
2. Check payments and debt.</x:v>
      </x:c>
      <x:c r="G24" s="19" t="str">
        <x:v>- Response says the order already has a pending liquidation record.
- No duplicate pending_credit payment is created.
- Debt is not increased a second time.</x:v>
      </x:c>
      <x:c r="H24" s="19" t="str">
        <x:v>Compare Payment and CreditTransaction counts before and after.</x:v>
      </x:c>
      <x:c r="I24" s="19" t="str">
        <x:v>payment/tests.py:92</x:v>
      </x:c>
      <x:c r="J24" s="19" t="str">
        <x:v>payment/services.py:423</x:v>
      </x:c>
      <x:c r="K24" s="19" t="str"/>
      <x:c r="L24" s="19" t="str">
        <x:v>Not Started</x:v>
      </x:c>
      <x:c r="M24" s="19" t="str"/>
      <x:c r="N24" s="28"/>
      <x:c r="O24" s="19" t="str"/>
      <x:c r="P24" s="19" t="str"/>
      <x:c r="Q24" s="20" t="str"/>
    </x:row>
    <x:row r="25" ht="72" hidden="0" customHeight="1">
      <x:c r="A25" s="24" t="str">
        <x:v>CRED-008</x:v>
      </x:c>
      <x:c r="B25" s="25" t="str">
        <x:v>Credit Orders</x:v>
      </x:c>
      <x:c r="C25" s="25" t="str">
        <x:v>P0</x:v>
      </x:c>
      <x:c r="D25" s="19" t="str">
        <x:v>Settle pending credit order with exact amount</x:v>
      </x:c>
      <x:c r="E25" s="19" t="str">
        <x:v>Credit order has pending_credit amount 1000.00. Client current_debt = 1000.00.</x:v>
      </x:c>
      <x:c r="F25" s="19" t="str">
        <x:v>1. Open the pay screen for the credit order.
2. Submit amount 1000.00 with cash or bank transfer.
3. Open client detail and order payments.</x:v>
      </x:c>
      <x:c r="G25" s="19" t="str">
        <x:v>- A completed settlement payment is created.
- Client current_debt becomes 0.00.
- Available credit is restored.
- pending_credit marker status changes to completed.
- CreditTransaction payment references the order and settlement payment.</x:v>
      </x:c>
      <x:c r="H25" s="19" t="str">
        <x:v>Order should now appear paid because non-pending_credit payment covers it.</x:v>
      </x:c>
      <x:c r="I25" s="19" t="str">
        <x:v>payment/tests.py:205, payment/tests.py:294</x:v>
      </x:c>
      <x:c r="J25" s="19" t="str">
        <x:v>payment/services.py:108, orders/views.py:113, clients/services/balance_service.py:261</x:v>
      </x:c>
      <x:c r="K25" s="19" t="str"/>
      <x:c r="L25" s="19" t="str">
        <x:v>Not Started</x:v>
      </x:c>
      <x:c r="M25" s="19" t="str"/>
      <x:c r="N25" s="28"/>
      <x:c r="O25" s="19" t="str"/>
      <x:c r="P25" s="19" t="str"/>
      <x:c r="Q25" s="20" t="str"/>
    </x:row>
    <x:row r="26" ht="60" hidden="0" customHeight="1">
      <x:c r="A26" s="24" t="str">
        <x:v>CRED-009</x:v>
      </x:c>
      <x:c r="B26" s="25" t="str">
        <x:v>Credit Orders</x:v>
      </x:c>
      <x:c r="C26" s="25" t="str">
        <x:v>P0</x:v>
      </x:c>
      <x:c r="D26" s="19" t="str">
        <x:v>Settle pending credit with wrong amount is rejected</x:v>
      </x:c>
      <x:c r="E26" s="19" t="str">
        <x:v>Credit order pending_credit amount = 1000.00.</x:v>
      </x:c>
      <x:c r="F26" s="19" t="str">
        <x:v>1. Open pay screen for the credit order.
2. Submit amount 900.00.</x:v>
      </x:c>
      <x:c r="G26" s="19" t="str">
        <x:v>- Payment is rejected with message that payment must cover pending balance.
- No new cash/bank payment is created.
- pending_credit remains pending.
- Debt remains unchanged.</x:v>
      </x:c>
      <x:c r="H26" s="19" t="str">
        <x:v>Verify order payments count and client debt.</x:v>
      </x:c>
      <x:c r="I26" s="19" t="str">
        <x:v>payment/tests.py:272</x:v>
      </x:c>
      <x:c r="J26" s="19" t="str">
        <x:v>payment/services.py:108</x:v>
      </x:c>
      <x:c r="K26" s="19" t="str"/>
      <x:c r="L26" s="19" t="str">
        <x:v>Not Started</x:v>
      </x:c>
      <x:c r="M26" s="19" t="str"/>
      <x:c r="N26" s="28"/>
      <x:c r="O26" s="19" t="str"/>
      <x:c r="P26" s="19" t="str"/>
      <x:c r="Q26" s="20" t="str"/>
    </x:row>
    <x:row r="27" ht="48" hidden="0" customHeight="1">
      <x:c r="A27" s="24" t="str">
        <x:v>CRED-010</x:v>
      </x:c>
      <x:c r="B27" s="25" t="str">
        <x:v>Credit Orders</x:v>
      </x:c>
      <x:c r="C27" s="25" t="str">
        <x:v>P1</x:v>
      </x:c>
      <x:c r="D27" s="19" t="str">
        <x:v>Existing matching settlement payment is reconciled without duplication</x:v>
      </x:c>
      <x:c r="E27" s="19" t="str">
        <x:v>Credit order has pending_credit 1000.00 and an existing completed cash payment 1000.00 that has not reduced debt.</x:v>
      </x:c>
      <x:c r="F27" s="19" t="str">
        <x:v>1. Run/submit the settlement flow for amount 1000.00.
2. Open the order payments.</x:v>
      </x:c>
      <x:c r="G27" s="19" t="str">
        <x:v>- Existing payment is reused.
- No duplicate cash payment is created.
- Debt is reduced to 0.00.
- pending_credit marker is completed.</x:v>
      </x:c>
      <x:c r="H27" s="19" t="str">
        <x:v>Check that only one cash payment exists for the order.</x:v>
      </x:c>
      <x:c r="I27" s="19" t="str">
        <x:v>payment/tests.py:222</x:v>
      </x:c>
      <x:c r="J27" s="19" t="str">
        <x:v>payment/services.py:108, payment/services.py:163</x:v>
      </x:c>
      <x:c r="K27" s="19" t="str"/>
      <x:c r="L27" s="19" t="str">
        <x:v>Not Started</x:v>
      </x:c>
      <x:c r="M27" s="19" t="str"/>
      <x:c r="N27" s="28"/>
      <x:c r="O27" s="19" t="str"/>
      <x:c r="P27" s="19" t="str"/>
      <x:c r="Q27" s="20" t="str"/>
    </x:row>
    <x:row r="28" ht="36" hidden="0" customHeight="1">
      <x:c r="A28" s="24" t="str">
        <x:v>CRED-011</x:v>
      </x:c>
      <x:c r="B28" s="25" t="str">
        <x:v>Credit Orders</x:v>
      </x:c>
      <x:c r="C28" s="25" t="str">
        <x:v>P1</x:v>
      </x:c>
      <x:c r="D28" s="19" t="str">
        <x:v>Mismatched existing settlement payment requires manual review</x:v>
      </x:c>
      <x:c r="E28" s="19" t="str">
        <x:v>Credit order pending_credit = 1000.00 and existing completed cash payment = 900.00.</x:v>
      </x:c>
      <x:c r="F28" s="19" t="str">
        <x:v>1. Attempt to settle the credit order.
2. Observe the response/error.</x:v>
      </x:c>
      <x:c r="G28" s="19" t="str">
        <x:v>- Flow raises/returns a manual review error.
- Client debt remains unchanged.
- No additional payment is created.</x:v>
      </x:c>
      <x:c r="H28" s="19" t="str">
        <x:v>Escalate to engineering or finance ops with order/payment IDs.</x:v>
      </x:c>
      <x:c r="I28" s="19" t="str">
        <x:v>payment/tests.py:249</x:v>
      </x:c>
      <x:c r="J28" s="19" t="str">
        <x:v>payment/services.py:163</x:v>
      </x:c>
      <x:c r="K28" s="19" t="str"/>
      <x:c r="L28" s="19" t="str">
        <x:v>Not Started</x:v>
      </x:c>
      <x:c r="M28" s="19" t="str"/>
      <x:c r="N28" s="28"/>
      <x:c r="O28" s="19" t="str"/>
      <x:c r="P28" s="19" t="str"/>
      <x:c r="Q28" s="20" t="str"/>
    </x:row>
    <x:row r="29" ht="60" hidden="0" customHeight="1">
      <x:c r="A29" s="24" t="str">
        <x:v>CRED-012</x:v>
      </x:c>
      <x:c r="B29" s="25" t="str">
        <x:v>Credit Orders</x:v>
      </x:c>
      <x:c r="C29" s="25" t="str">
        <x:v>P2</x:v>
      </x:c>
      <x:c r="D29" s="19" t="str">
        <x:v>Legacy credit migration dry-run and apply behavior</x:v>
      </x:c>
      <x:c r="E29" s="19" t="str">
        <x:v>A legacy order has type contado and a completed Payment with method credit.</x:v>
      </x:c>
      <x:c r="F29" s="19" t="str">
        <x:v>1. Run migrate_legacy_credit_orders without --apply in a safe QA environment.
2. Confirm no records change.
3. Run again with --apply.
4. Inspect order and payment.</x:v>
      </x:c>
      <x:c r="G29" s="19" t="str">
        <x:v>- Dry run reports no writes.
- --apply changes order.type to credito.
- Legacy payment changes to method pending_credit and status pending.</x:v>
      </x:c>
      <x:c r="H29" s="19" t="str">
        <x:v>Only run this in a disposable QA database.</x:v>
      </x:c>
      <x:c r="I29" s="19" t="str">
        <x:v>payment/tests.py:431, payment/tests.py:457</x:v>
      </x:c>
      <x:c r="J29" s="19" t="str">
        <x:v>orders/management/commands/migrate_legacy_credit_orders.py:22</x:v>
      </x:c>
      <x:c r="K29" s="19" t="str"/>
      <x:c r="L29" s="19" t="str">
        <x:v>Not Started</x:v>
      </x:c>
      <x:c r="M29" s="19" t="str"/>
      <x:c r="N29" s="28"/>
      <x:c r="O29" s="19" t="str"/>
      <x:c r="P29" s="19" t="str"/>
      <x:c r="Q29" s="20" t="str"/>
    </x:row>
    <x:row r="30" ht="60" hidden="0" customHeight="1">
      <x:c r="A30" s="24" t="str">
        <x:v>CFG-001</x:v>
      </x:c>
      <x:c r="B30" s="25" t="str">
        <x:v>Credit Config</x:v>
      </x:c>
      <x:c r="C30" s="25" t="str">
        <x:v>P0</x:v>
      </x:c>
      <x:c r="D30" s="19" t="str">
        <x:v>Emergency stop checkbox semantics are inverted correctly</x:v>
      </x:c>
      <x:c r="E30" s="19" t="str">
        <x:v>Client can_pay_with_credit = true and credit_limit = 500.00.</x:v>
      </x:c>
      <x:c r="F30" s="19" t="str">
        <x:v>1. Open client edit &gt; credit tab.
2. Check the field labelled Cliente no puede pagar con credito.
3. Save.
4. Open the client again.</x:v>
      </x:c>
      <x:c r="G30" s="19" t="str">
        <x:v>- When checkbox is checked, persisted can_pay_with_credit is false.
- When checkbox is unchecked, persisted can_pay_with_credit is true.
- Credit sale attempts respect the persisted value.</x:v>
      </x:c>
      <x:c r="H30" s="19" t="str">
        <x:v>Do CRED-004 after enabling the emergency stop.</x:v>
      </x:c>
      <x:c r="I30" s="19" t="str">
        <x:v>clients/tests_credit_management.py:75, clients/tests_credit_management.py:95</x:v>
      </x:c>
      <x:c r="J30" s="19" t="str">
        <x:v>clients/forms.py:157, clients/models.py:199</x:v>
      </x:c>
      <x:c r="K30" s="19" t="str"/>
      <x:c r="L30" s="19" t="str">
        <x:v>Not Started</x:v>
      </x:c>
      <x:c r="M30" s="19" t="str"/>
      <x:c r="N30" s="28"/>
      <x:c r="O30" s="19" t="str"/>
      <x:c r="P30" s="19" t="str"/>
      <x:c r="Q30" s="20" t="str"/>
    </x:row>
    <x:row r="31" ht="72" hidden="0" customHeight="1">
      <x:c r="A31" s="24" t="str">
        <x:v>CFG-002</x:v>
      </x:c>
      <x:c r="B31" s="25" t="str">
        <x:v>Credit Config</x:v>
      </x:c>
      <x:c r="C31" s="25" t="str">
        <x:v>P1</x:v>
      </x:c>
      <x:c r="D31" s="19" t="str">
        <x:v>Invoice-due credit terms require recurring billing</x:v>
      </x:c>
      <x:c r="E31" s="19" t="str">
        <x:v>Corporate client exists with requires_billing false.</x:v>
      </x:c>
      <x:c r="F31" s="19" t="str">
        <x:v>1. Open credit configuration.
2. Select Vencimiento posterior a factura/invoice_due.
3. Attempt to save without enabling recurring billing.
4. Then enable recurring billing and save invoice_due.
5. Try disabling recurring billing while invoice_due remains configured.</x:v>
      </x:c>
      <x:c r="G31" s="19" t="str">
        <x:v>- invoice_due cannot be saved unless requires_billing is true.
- Recurring billing cannot be disabled while invoice_due credit terms are active.</x:v>
      </x:c>
      <x:c r="H31" s="19" t="str">
        <x:v>Verify validation message mentions billing/facturacion requirement.</x:v>
      </x:c>
      <x:c r="I31" s="19" t="str">
        <x:v>clients/tests_credit_management.py:127, clients/tests_credit_management.py:143</x:v>
      </x:c>
      <x:c r="J31" s="19" t="str">
        <x:v>clients/models.py:141, clients/models.py:606, clients/views.py:262</x:v>
      </x:c>
      <x:c r="K31" s="19" t="str"/>
      <x:c r="L31" s="19" t="str">
        <x:v>Not Started</x:v>
      </x:c>
      <x:c r="M31" s="19" t="str"/>
      <x:c r="N31" s="28"/>
      <x:c r="O31" s="19" t="str"/>
      <x:c r="P31" s="19" t="str"/>
      <x:c r="Q31" s="20" t="str"/>
    </x:row>
    <x:row r="32" ht="60" hidden="0" customHeight="1">
      <x:c r="A32" s="24" t="str">
        <x:v>CFG-003</x:v>
      </x:c>
      <x:c r="B32" s="25" t="str">
        <x:v>Credit Config</x:v>
      </x:c>
      <x:c r="C32" s="25" t="str">
        <x:v>P1</x:v>
      </x:c>
      <x:c r="D32" s="19" t="str">
        <x:v>New branch copies corporate credit policy but not ledger state</x:v>
      </x:c>
      <x:c r="E32" s="19" t="str">
        <x:v>Corporate client has credit_limit 750.00, current_debt 320.00, balance 125.00, can_pay_with_credit false, and credit config cutoff_day 15.</x:v>
      </x:c>
      <x:c r="F32" s="19" t="str">
        <x:v>1. Create a branch under that corporate.
2. Open branch detail/edit credit tab.</x:v>
      </x:c>
      <x:c r="G32" s="19" t="str">
        <x:v>- Branch credit_limit is 750.00.
- Branch can_pay_with_credit is false.
- Branch current_debt is 0.00 and balance is 0.00.
- Branch credit config copies payment term, cutoff day, and max payment days.</x:v>
      </x:c>
      <x:c r="H32" s="19" t="str">
        <x:v>Confirm branch credit_override_enabled defaults false.</x:v>
      </x:c>
      <x:c r="I32" s="19" t="str">
        <x:v>clients/tests_credit_management.py:170</x:v>
      </x:c>
      <x:c r="J32" s="19" t="str">
        <x:v>clients/services/client_service.py:51, clients/views.py:216</x:v>
      </x:c>
      <x:c r="K32" s="19" t="str"/>
      <x:c r="L32" s="19" t="str">
        <x:v>Not Started</x:v>
      </x:c>
      <x:c r="M32" s="19" t="str"/>
      <x:c r="N32" s="28"/>
      <x:c r="O32" s="19" t="str"/>
      <x:c r="P32" s="19" t="str"/>
      <x:c r="Q32" s="20" t="str"/>
    </x:row>
    <x:row r="33" ht="72" hidden="0" customHeight="1">
      <x:c r="A33" s="24" t="str">
        <x:v>CFG-004</x:v>
      </x:c>
      <x:c r="B33" s="25" t="str">
        <x:v>Credit Config</x:v>
      </x:c>
      <x:c r="C33" s="25" t="str">
        <x:v>P1</x:v>
      </x:c>
      <x:c r="D33" s="19" t="str">
        <x:v>Branch without credit override is read-only for credit policy</x:v>
      </x:c>
      <x:c r="E33" s="19" t="str">
        <x:v>Branch belongs to corporate and credit_override_enabled is false.</x:v>
      </x:c>
      <x:c r="F33" s="19" t="str">
        <x:v>1. Open branch edit &gt; credit tab.
2. Attempt to change credit_limit through the UI or PATCH endpoint.</x:v>
      </x:c>
      <x:c r="G33" s="19" t="str">
        <x:v>- UI shows credit settings as read-only and points to corporate management.
- PATCH/API update is rejected with 400.
- Branch credit_limit and can_pay_with_credit remain unchanged.</x:v>
      </x:c>
      <x:c r="H33" s="19" t="str">
        <x:v>Use branch with override disabled only.</x:v>
      </x:c>
      <x:c r="I33" s="19" t="str">
        <x:v>clients/tests_credit_management.py:301, clients/tests_credit_management.py:314, clients/tests_credit_management.py:383</x:v>
      </x:c>
      <x:c r="J33" s="19" t="str">
        <x:v>clients/views.py:121, clients/views.py:262, clients/services/client_service.py:89</x:v>
      </x:c>
      <x:c r="K33" s="19" t="str"/>
      <x:c r="L33" s="19" t="str">
        <x:v>Not Started</x:v>
      </x:c>
      <x:c r="M33" s="19" t="str"/>
      <x:c r="N33" s="28"/>
      <x:c r="O33" s="19" t="str"/>
      <x:c r="P33" s="19" t="str"/>
      <x:c r="Q33" s="20" t="str"/>
    </x:row>
    <x:row r="34" ht="48" hidden="0" customHeight="1">
      <x:c r="A34" s="24" t="str">
        <x:v>CFG-005</x:v>
      </x:c>
      <x:c r="B34" s="25" t="str">
        <x:v>Credit Config</x:v>
      </x:c>
      <x:c r="C34" s="25" t="str">
        <x:v>P2</x:v>
      </x:c>
      <x:c r="D34" s="19" t="str">
        <x:v>Branch with credit override can edit credit policy</x:v>
      </x:c>
      <x:c r="E34" s="19" t="str">
        <x:v>Branch has credit_override_enabled true.</x:v>
      </x:c>
      <x:c r="F34" s="19" t="str">
        <x:v>1. Open branch edit &gt; credit tab.
2. Change credit_limit to 500.00 and save.
3. Optionally PATCH credit_limit/can_pay_with_credit.</x:v>
      </x:c>
      <x:c r="G34" s="19" t="str">
        <x:v>- UI saves the branch-specific credit policy.
- PATCH/API can update credit fields.
- Corporate policy is not modified by the branch edit.</x:v>
      </x:c>
      <x:c r="H34" s="19" t="str">
        <x:v>Compare branch and corporate values.</x:v>
      </x:c>
      <x:c r="I34" s="19" t="str">
        <x:v>clients/tests_credit_management.py:331, clients/tests_credit_management.py:398</x:v>
      </x:c>
      <x:c r="J34" s="19" t="str">
        <x:v>clients/views.py:262, clients/services/client_service.py:89</x:v>
      </x:c>
      <x:c r="K34" s="19" t="str"/>
      <x:c r="L34" s="19" t="str">
        <x:v>Not Started</x:v>
      </x:c>
      <x:c r="M34" s="19" t="str"/>
      <x:c r="N34" s="28"/>
      <x:c r="O34" s="19" t="str"/>
      <x:c r="P34" s="19" t="str"/>
      <x:c r="Q34" s="20" t="str"/>
    </x:row>
    <x:row r="35" ht="96" hidden="0" customHeight="1">
      <x:c r="A35" s="24" t="str">
        <x:v>CFG-006</x:v>
      </x:c>
      <x:c r="B35" s="25" t="str">
        <x:v>Credit Config</x:v>
      </x:c>
      <x:c r="C35" s="25" t="str">
        <x:v>P1</x:v>
      </x:c>
      <x:c r="D35" s="19" t="str">
        <x:v>Monthly cutoff due dates handle cutoff day and month end</x:v>
      </x:c>
      <x:c r="E35" s="19" t="str">
        <x:v>Client credit config payment_term_type monthly_cutoff.</x:v>
      </x:c>
      <x:c r="F35" s="19" t="str">
        <x:v>1. Set cutoff_day to 20 and create credit sale dated 2026-06-21.
2. Check due date.
3. Create another sale dated 2026-06-20.
4. Set cutoff_day last_day or 30 in February and check due date.</x:v>
      </x:c>
      <x:c r="G35" s="19" t="str">
        <x:v>- Sale after cutoff is due 2026-07-20.
- Sale on cutoff is due 2026-06-20.
- last_day uses actual month end.
- Numeric cutoff beyond month end clamps to actual month end.</x:v>
      </x:c>
      <x:c r="H35" s="19" t="str">
        <x:v>Client detail nearest due date should reflect these dates when open credit exists.</x:v>
      </x:c>
      <x:c r="I35" s="19" t="str">
        <x:v>clients/tests_credit_terms.py:13, clients/tests_credit_terms.py:18, clients/tests_credit_terms.py:23, clients/tests_credit_terms.py:28</x:v>
      </x:c>
      <x:c r="J35" s="19" t="str">
        <x:v>clients/services/pending_payment_service.py:27, clients/services/pending_payment_service.py:40</x:v>
      </x:c>
      <x:c r="K35" s="19" t="str"/>
      <x:c r="L35" s="19" t="str">
        <x:v>Not Started</x:v>
      </x:c>
      <x:c r="M35" s="19" t="str"/>
      <x:c r="N35" s="28"/>
      <x:c r="O35" s="19" t="str"/>
      <x:c r="P35" s="19" t="str"/>
      <x:c r="Q35" s="20" t="str"/>
    </x:row>
    <x:row r="36" ht="72" hidden="0" customHeight="1">
      <x:c r="A36" s="24" t="str">
        <x:v>CFG-007</x:v>
      </x:c>
      <x:c r="B36" s="25" t="str">
        <x:v>Credit Config</x:v>
      </x:c>
      <x:c r="C36" s="25" t="str">
        <x:v>P1</x:v>
      </x:c>
      <x:c r="D36" s="19" t="str">
        <x:v>Invoice-due credit waits for invoice emission then adds max days</x:v>
      </x:c>
      <x:c r="E36" s="19" t="str">
        <x:v>Client uses invoice_due with max_payment_days = 30.</x:v>
      </x:c>
      <x:c r="F36" s="19" t="str">
        <x:v>1. Create a credit order without an invoice.
2. Check client credit report/client detail due date.
3. Create or link invoice with emitted_at 2026-06-10.
4. Check due date again.</x:v>
      </x:c>
      <x:c r="G36" s="19" t="str">
        <x:v>- Uninvoiced order has no due date and is not overdue.
- After invoice emission, due date is 2026-07-10.</x:v>
      </x:c>
      <x:c r="H36" s="19" t="str">
        <x:v>Use client credit report detailed page.</x:v>
      </x:c>
      <x:c r="I36" s="19" t="str">
        <x:v>clients/tests_credit_terms.py:33, clients/tests_credit_terms.py:46, clients/tests_credit_report_service.py:164</x:v>
      </x:c>
      <x:c r="J36" s="19" t="str">
        <x:v>clients/services/pending_payment_service.py:40, clients/services/credit_report_service.py:143</x:v>
      </x:c>
      <x:c r="K36" s="19" t="str"/>
      <x:c r="L36" s="19" t="str">
        <x:v>Not Started</x:v>
      </x:c>
      <x:c r="M36" s="19" t="str"/>
      <x:c r="N36" s="28"/>
      <x:c r="O36" s="19" t="str"/>
      <x:c r="P36" s="19" t="str"/>
      <x:c r="Q36" s="20" t="str"/>
    </x:row>
    <x:row r="37" ht="48" hidden="0" customHeight="1">
      <x:c r="A37" s="24" t="str">
        <x:v>INV-001</x:v>
      </x:c>
      <x:c r="B37" s="25" t="str">
        <x:v>Invoices</x:v>
      </x:c>
      <x:c r="C37" s="25" t="str">
        <x:v>P0</x:v>
      </x:c>
      <x:c r="D37" s="19" t="str">
        <x:v>Invoiceable orders list includes only same-client completed unbilled orders</x:v>
      </x:c>
      <x:c r="E37" s="19" t="str">
        <x:v>Client A has completed unbilled orders, pending orders, and an already-billed order. Client B has completed orders.</x:v>
      </x:c>
      <x:c r="F37" s="19" t="str">
        <x:v>1. Open invoice edit/create link flow for Client A.
2. Open the order dropdown or invoiceable-orders AJAX endpoint.</x:v>
      </x:c>
      <x:c r="G37" s="19" t="str">
        <x:v>- Client A completed unbilled orders appear.
- Client B orders do not appear.
- Pending orders do not appear.
- Orders linked to any invoice do not appear.</x:v>
      </x:c>
      <x:c r="H37" s="19" t="str">
        <x:v>Check invoiceable orders endpoint response if needed.</x:v>
      </x:c>
      <x:c r="I37" s="19" t="str">
        <x:v>invoice/tests.py:38, invoice/tests.py:259, invoice/tests.py:274, invoice/tests.py:296</x:v>
      </x:c>
      <x:c r="J37" s="19" t="str">
        <x:v>invoice/services.py:352, invoice/views.py:15</x:v>
      </x:c>
      <x:c r="K37" s="19" t="str"/>
      <x:c r="L37" s="19" t="str">
        <x:v>Not Started</x:v>
      </x:c>
      <x:c r="M37" s="19" t="str"/>
      <x:c r="N37" s="28"/>
      <x:c r="O37" s="19" t="str"/>
      <x:c r="P37" s="19" t="str"/>
      <x:c r="Q37" s="20" t="str"/>
    </x:row>
    <x:row r="38" ht="36" hidden="0" customHeight="1">
      <x:c r="A38" s="24" t="str">
        <x:v>INV-002</x:v>
      </x:c>
      <x:c r="B38" s="25" t="str">
        <x:v>Invoices</x:v>
      </x:c>
      <x:c r="C38" s="25" t="str">
        <x:v>P1</x:v>
      </x:c>
      <x:c r="D38" s="19" t="str">
        <x:v>Editing an existing invoice link preserves the current linked order</x:v>
      </x:c>
      <x:c r="E38" s="19" t="str">
        <x:v>Invoice has an existing InvoiceOrderLink to an order that would otherwise be excluded.</x:v>
      </x:c>
      <x:c r="F38" s="19" t="str">
        <x:v>1. Open the invoice edit screen.
2. Edit the existing linked order row.
3. Check the dropdown options.</x:v>
      </x:c>
      <x:c r="G38" s="19" t="str">
        <x:v>- The current linked order remains selectable while editing.
- Other already-linked orders remain excluded.</x:v>
      </x:c>
      <x:c r="H38" s="19" t="str">
        <x:v>This protects admin edits from losing the current selection.</x:v>
      </x:c>
      <x:c r="I38" s="19" t="str">
        <x:v>invoice/tests.py:105, invoice/tests.py:309</x:v>
      </x:c>
      <x:c r="J38" s="19" t="str">
        <x:v>invoice/services.py:352, invoice/static/admin/js/billing_record_inline_orders.js:117</x:v>
      </x:c>
      <x:c r="K38" s="19" t="str"/>
      <x:c r="L38" s="19" t="str">
        <x:v>Not Started</x:v>
      </x:c>
      <x:c r="M38" s="19" t="str"/>
      <x:c r="N38" s="28"/>
      <x:c r="O38" s="19" t="str"/>
      <x:c r="P38" s="19" t="str"/>
      <x:c r="Q38" s="20" t="str"/>
    </x:row>
    <x:row r="39" ht="48" hidden="0" customHeight="1">
      <x:c r="A39" s="24" t="str">
        <x:v>INV-003</x:v>
      </x:c>
      <x:c r="B39" s="25" t="str">
        <x:v>Invoices</x:v>
      </x:c>
      <x:c r="C39" s="25" t="str">
        <x:v>P0</x:v>
      </x:c>
      <x:c r="D39" s="19" t="str">
        <x:v>Manual invoice amount cap blocks linked orders that exceed the invoice amount</x:v>
      </x:c>
      <x:c r="E39" s="19" t="str">
        <x:v>Manual invoice auto_amount false, amount 100.00. Existing linked order 80.00. New order 30.00.</x:v>
      </x:c>
      <x:c r="F39" s="19" t="str">
        <x:v>1. Open the manual invoice edit screen.
2. Try linking the new 30.00 order.</x:v>
      </x:c>
      <x:c r="G39" s="19" t="str">
        <x:v>- Form blocks the link because linked order total would be 110.00.
- No InvoiceOrderLink is created for the new order.
- Error explains that the sum exceeds the invoice amount.</x:v>
      </x:c>
      <x:c r="H39" s="19" t="str">
        <x:v>Check linked orders table remains unchanged.</x:v>
      </x:c>
      <x:c r="I39" s="19" t="str">
        <x:v>invoice/tests.py:130</x:v>
      </x:c>
      <x:c r="J39" s="19" t="str">
        <x:v>invoice/services.py:265, invoice/services.py:314</x:v>
      </x:c>
      <x:c r="K39" s="19" t="str"/>
      <x:c r="L39" s="19" t="str">
        <x:v>Not Started</x:v>
      </x:c>
      <x:c r="M39" s="19" t="str"/>
      <x:c r="N39" s="28"/>
      <x:c r="O39" s="19" t="str"/>
      <x:c r="P39" s="19" t="str"/>
      <x:c r="Q39" s="20" t="str"/>
    </x:row>
    <x:row r="40" ht="36" hidden="0" customHeight="1">
      <x:c r="A40" s="24" t="str">
        <x:v>INV-004</x:v>
      </x:c>
      <x:c r="B40" s="25" t="str">
        <x:v>Invoices</x:v>
      </x:c>
      <x:c r="C40" s="25" t="str">
        <x:v>P1</x:v>
      </x:c>
      <x:c r="D40" s="19" t="str">
        <x:v>Manual invoice cap allows exact boundary</x:v>
      </x:c>
      <x:c r="E40" s="19" t="str">
        <x:v>Manual invoice amount 100.00. Existing linked order 80.00. New completed order 20.00.</x:v>
      </x:c>
      <x:c r="F40" s="19" t="str">
        <x:v>1. Open invoice edit.
2. Link the 20.00 order.</x:v>
      </x:c>
      <x:c r="G40" s="19" t="str">
        <x:v>- Form saves successfully.
- Linked order total equals invoice amount 100.00.</x:v>
      </x:c>
      <x:c r="H40" s="19" t="str">
        <x:v>Check invoice linked orders sum.</x:v>
      </x:c>
      <x:c r="I40" s="19" t="str">
        <x:v>invoice/tests.py:187</x:v>
      </x:c>
      <x:c r="J40" s="19" t="str">
        <x:v>invoice/services.py:314</x:v>
      </x:c>
      <x:c r="K40" s="19" t="str"/>
      <x:c r="L40" s="19" t="str">
        <x:v>Not Started</x:v>
      </x:c>
      <x:c r="M40" s="19" t="str"/>
      <x:c r="N40" s="28"/>
      <x:c r="O40" s="19" t="str"/>
      <x:c r="P40" s="19" t="str"/>
      <x:c r="Q40" s="20" t="str"/>
    </x:row>
    <x:row r="41" ht="48" hidden="0" customHeight="1">
      <x:c r="A41" s="24" t="str">
        <x:v>INV-005</x:v>
      </x:c>
      <x:c r="B41" s="25" t="str">
        <x:v>Invoices</x:v>
      </x:c>
      <x:c r="C41" s="25" t="str">
        <x:v>P0</x:v>
      </x:c>
      <x:c r="D41" s="19" t="str">
        <x:v>Auto amount invoice derives amount from linked orders</x:v>
      </x:c>
      <x:c r="E41" s="19" t="str">
        <x:v>Auto invoice initially links order 50.00.</x:v>
      </x:c>
      <x:c r="F41" s="19" t="str">
        <x:v>1. Create invoice from completed orders or enable auto_amount.
2. Add another completed order worth 25.00.
3. Save invoice edit.</x:v>
      </x:c>
      <x:c r="G41" s="19" t="str">
        <x:v>- auto_amount invoice accepts linked orders even when prior amount would have been exceeded.
- Invoice amount syncs to 75.00.
- If all links are removed, invoice amount syncs to 0.00.</x:v>
      </x:c>
      <x:c r="H41" s="19" t="str">
        <x:v>Check invoice amount after save and after removing links.</x:v>
      </x:c>
      <x:c r="I41" s="19" t="str">
        <x:v>invoice/tests.py:159, invoice/tests.py:469, invoice/tests.py:485</x:v>
      </x:c>
      <x:c r="J41" s="19" t="str">
        <x:v>invoice/services.py:476, invoice/services.py:534, invoice/views.py:142</x:v>
      </x:c>
      <x:c r="K41" s="19" t="str"/>
      <x:c r="L41" s="19" t="str">
        <x:v>Not Started</x:v>
      </x:c>
      <x:c r="M41" s="19" t="str"/>
      <x:c r="N41" s="28"/>
      <x:c r="O41" s="19" t="str"/>
      <x:c r="P41" s="19" t="str"/>
      <x:c r="Q41" s="20" t="str"/>
    </x:row>
    <x:row r="42" ht="60" hidden="0" customHeight="1">
      <x:c r="A42" s="24" t="str">
        <x:v>INV-006</x:v>
      </x:c>
      <x:c r="B42" s="25" t="str">
        <x:v>Invoices</x:v>
      </x:c>
      <x:c r="C42" s="25" t="str">
        <x:v>P0</x:v>
      </x:c>
      <x:c r="D42" s="19" t="str">
        <x:v>Bulk create invoice from completed same-client orders</x:v>
      </x:c>
      <x:c r="E42" s="19" t="str">
        <x:v>Admin user. Two completed orders for same invoice-ready corporate client: 50.00 and 30.00.</x:v>
      </x:c>
      <x:c r="F42" s="19" t="str">
        <x:v>1. Open admin orders dashboard.
2. Select both completed orders.
3. Choose bulk action Crear factura.
4. Submit.</x:v>
      </x:c>
      <x:c r="G42" s="19" t="str">
        <x:v>- Redirects to invoice edit screen.
- Invoice is created for 80.00.
- Invoice has two InvoiceOrderLink rows.
- identifier and folio are BORRADOR placeholders for later update.</x:v>
      </x:c>
      <x:c r="H42" s="19" t="str">
        <x:v>Check invoice linked order IDs.</x:v>
      </x:c>
      <x:c r="I42" s="19" t="str">
        <x:v>orders/tests.py:1043, invoice/tests.py:413, invoice/tests.py:426</x:v>
      </x:c>
      <x:c r="J42" s="19" t="str">
        <x:v>orders/views.py:253, invoice/services.py:476</x:v>
      </x:c>
      <x:c r="K42" s="19" t="str"/>
      <x:c r="L42" s="19" t="str">
        <x:v>Not Started</x:v>
      </x:c>
      <x:c r="M42" s="19" t="str"/>
      <x:c r="N42" s="28"/>
      <x:c r="O42" s="19" t="str"/>
      <x:c r="P42" s="19" t="str"/>
      <x:c r="Q42" s="20" t="str"/>
    </x:row>
    <x:row r="43" ht="36" hidden="0" customHeight="1">
      <x:c r="A43" s="24" t="str">
        <x:v>INV-007</x:v>
      </x:c>
      <x:c r="B43" s="25" t="str">
        <x:v>Invoices</x:v>
      </x:c>
      <x:c r="C43" s="25" t="str">
        <x:v>P0</x:v>
      </x:c>
      <x:c r="D43" s="19" t="str">
        <x:v>Bulk create invoice rejects non-completed orders</x:v>
      </x:c>
      <x:c r="E43" s="19" t="str">
        <x:v>Selected orders include one completed and one pending order.</x:v>
      </x:c>
      <x:c r="F43" s="19" t="str">
        <x:v>1. Open admin orders dashboard.
2. Select the mixed-status orders.
3. Choose Crear factura and submit.</x:v>
      </x:c>
      <x:c r="G43" s="19" t="str">
        <x:v>- No invoice is created.
- Message says only completed orders can be invoiced.
- Pending order ID is included in the error context.</x:v>
      </x:c>
      <x:c r="H43" s="19" t="str">
        <x:v>Check Invoice count for the client.</x:v>
      </x:c>
      <x:c r="I43" s="19" t="str">
        <x:v>orders/tests.py:1062</x:v>
      </x:c>
      <x:c r="J43" s="19" t="str">
        <x:v>orders/views.py:253</x:v>
      </x:c>
      <x:c r="K43" s="19" t="str"/>
      <x:c r="L43" s="19" t="str">
        <x:v>Not Started</x:v>
      </x:c>
      <x:c r="M43" s="19" t="str"/>
      <x:c r="N43" s="28"/>
      <x:c r="O43" s="19" t="str"/>
      <x:c r="P43" s="19" t="str"/>
      <x:c r="Q43" s="20" t="str"/>
    </x:row>
    <x:row r="44" ht="36" hidden="0" customHeight="1">
      <x:c r="A44" s="24" t="str">
        <x:v>INV-008</x:v>
      </x:c>
      <x:c r="B44" s="25" t="str">
        <x:v>Invoices</x:v>
      </x:c>
      <x:c r="C44" s="25" t="str">
        <x:v>P0</x:v>
      </x:c>
      <x:c r="D44" s="19" t="str">
        <x:v>Bulk create invoice rejects orders from different corporates</x:v>
      </x:c>
      <x:c r="E44" s="19" t="str">
        <x:v>Selected completed orders belong to different corporate owners.</x:v>
      </x:c>
      <x:c r="F44" s="19" t="str">
        <x:v>1. Select completed orders across different corporate clients.
2. Run Crear factura.</x:v>
      </x:c>
      <x:c r="G44" s="19" t="str">
        <x:v>- No invoice is created.
- Error says all selected orders must belong to the same corporate client.</x:v>
      </x:c>
      <x:c r="H44" s="19" t="str">
        <x:v>Include branch/corporate combinations in this test.</x:v>
      </x:c>
      <x:c r="I44" s="19" t="str">
        <x:v>invoice/tests.py:445</x:v>
      </x:c>
      <x:c r="J44" s="19" t="str">
        <x:v>invoice/services.py:476, orders/views.py:253</x:v>
      </x:c>
      <x:c r="K44" s="19" t="str"/>
      <x:c r="L44" s="19" t="str">
        <x:v>Not Started</x:v>
      </x:c>
      <x:c r="M44" s="19" t="str"/>
      <x:c r="N44" s="28"/>
      <x:c r="O44" s="19" t="str"/>
      <x:c r="P44" s="19" t="str"/>
      <x:c r="Q44" s="20" t="str"/>
    </x:row>
    <x:row r="45" ht="60" hidden="0" customHeight="1">
      <x:c r="A45" s="24" t="str">
        <x:v>INV-009</x:v>
      </x:c>
      <x:c r="B45" s="25" t="str">
        <x:v>Invoices</x:v>
      </x:c>
      <x:c r="C45" s="25" t="str">
        <x:v>P0</x:v>
      </x:c>
      <x:c r="D45" s="19" t="str">
        <x:v>Invoice generation rejects missing fiscal data or fiscal address</x:v>
      </x:c>
      <x:c r="E45" s="19" t="str">
        <x:v>Client has completed orders but lacks RFC/razon_social or active billing address.</x:v>
      </x:c>
      <x:c r="F45" s="19" t="str">
        <x:v>1. Run Crear factura from admin orders.
2. Repeat with missing RFC/razon_social.
3. Repeat with missing active billing address.</x:v>
      </x:c>
      <x:c r="G45" s="19" t="str">
        <x:v>- No invoice is created.
- Error identifies missing RFC/Razon social or fiscal address.
- For branches, the corporate owner is named when corporate data is missing.</x:v>
      </x:c>
      <x:c r="H45" s="19" t="str">
        <x:v>Check that no partial invoice/link rows were created.</x:v>
      </x:c>
      <x:c r="I45" s="19" t="str">
        <x:v>orders/tests.py:1076, orders/tests.py:1093, invoice/tests.py:455</x:v>
      </x:c>
      <x:c r="J45" s="19" t="str">
        <x:v>invoice/services.py:47, invoice/services.py:476</x:v>
      </x:c>
      <x:c r="K45" s="19" t="str"/>
      <x:c r="L45" s="19" t="str">
        <x:v>Not Started</x:v>
      </x:c>
      <x:c r="M45" s="19" t="str"/>
      <x:c r="N45" s="28"/>
      <x:c r="O45" s="19" t="str"/>
      <x:c r="P45" s="19" t="str"/>
      <x:c r="Q45" s="20" t="str"/>
    </x:row>
    <x:row r="46" ht="60" hidden="0" customHeight="1">
      <x:c r="A46" s="24" t="str">
        <x:v>INV-010</x:v>
      </x:c>
      <x:c r="B46" s="25" t="str">
        <x:v>Invoices</x:v>
      </x:c>
      <x:c r="C46" s="25" t="str">
        <x:v>P1</x:v>
      </x:c>
      <x:c r="D46" s="19" t="str">
        <x:v>Branch invoice generation validates corporate fiscal data, not branch-owned data</x:v>
      </x:c>
      <x:c r="E46" s="19" t="str">
        <x:v>Branch has its own fiscal data/address, but its corporate client is missing RFC or billing address.</x:v>
      </x:c>
      <x:c r="F46" s="19" t="str">
        <x:v>1. Select a completed branch order.
2. Run Crear factura.</x:v>
      </x:c>
      <x:c r="G46" s="19" t="str">
        <x:v>- Invoice creation is rejected.
- Error references the corporate client as the required billing owner.
- Branch-owned fiscal data does not bypass corporate validation.</x:v>
      </x:c>
      <x:c r="H46" s="19" t="str">
        <x:v>Check branch and corporate setup before test.</x:v>
      </x:c>
      <x:c r="I46" s="19" t="str">
        <x:v>orders/tests.py:1121, clients/tests.py:140, clients/tests.py:173</x:v>
      </x:c>
      <x:c r="J46" s="19" t="str">
        <x:v>invoice/services.py:23, invoice/services.py:47</x:v>
      </x:c>
      <x:c r="K46" s="19" t="str"/>
      <x:c r="L46" s="19" t="str">
        <x:v>Not Started</x:v>
      </x:c>
      <x:c r="M46" s="19" t="str"/>
      <x:c r="N46" s="28"/>
      <x:c r="O46" s="19" t="str"/>
      <x:c r="P46" s="19" t="str"/>
      <x:c r="Q46" s="20" t="str"/>
    </x:row>
    <x:row r="47" ht="60" hidden="0" customHeight="1">
      <x:c r="A47" s="24" t="str">
        <x:v>INV-011</x:v>
      </x:c>
      <x:c r="B47" s="25" t="str">
        <x:v>Invoices</x:v>
      </x:c>
      <x:c r="C47" s="25" t="str">
        <x:v>P1</x:v>
      </x:c>
      <x:c r="D47" s="19" t="str">
        <x:v>Invoice balance snapshot separates available capacity from unpaid balance</x:v>
      </x:c>
      <x:c r="E47" s="19" t="str">
        <x:v>Invoice amount 1000.00 linked to orders totaling 800.00. Payments include cash 600.00 and pending_credit 50.00.</x:v>
      </x:c>
      <x:c r="F47" s="19" t="str">
        <x:v>1. Open invoice list/dashboard or run the invoice balance snapshot view/service if exposed.
2. Compare linked order totals and completed non-credit payments.</x:v>
      </x:c>
      <x:c r="G47" s="19" t="str">
        <x:v>- Available capacity is 200.00 because invoice amount exceeds linked order totals.
- Unpaid balance is 400.00 because pending_credit is excluded from paid total.
- A fully used/paid invoice is not counted in either bucket.</x:v>
      </x:c>
      <x:c r="H47" s="19" t="str">
        <x:v>Use invoice list amount, total payments, and pending amount columns.</x:v>
      </x:c>
      <x:c r="I47" s="19" t="str">
        <x:v>invoice/tests.py:565</x:v>
      </x:c>
      <x:c r="J47" s="19" t="str">
        <x:v>invoice/services.py:97, invoice/models.py:47, invoice/models.py:136</x:v>
      </x:c>
      <x:c r="K47" s="19" t="str"/>
      <x:c r="L47" s="19" t="str">
        <x:v>Not Started</x:v>
      </x:c>
      <x:c r="M47" s="19" t="str"/>
      <x:c r="N47" s="28"/>
      <x:c r="O47" s="19" t="str"/>
      <x:c r="P47" s="19" t="str"/>
      <x:c r="Q47" s="20" t="str"/>
    </x:row>
    <x:row r="48" ht="36" hidden="0" customHeight="1">
      <x:c r="A48" s="24" t="str">
        <x:v>INV-012</x:v>
      </x:c>
      <x:c r="B48" s="25" t="str">
        <x:v>Invoices</x:v>
      </x:c>
      <x:c r="C48" s="25" t="str">
        <x:v>P2</x:v>
      </x:c>
      <x:c r="D48" s="19" t="str">
        <x:v>Invoice admin create and edit screens persist fields and links</x:v>
      </x:c>
      <x:c r="E48" s="19" t="str">
        <x:v>Staff/admin user and invoice-ready client.</x:v>
      </x:c>
      <x:c r="F48" s="19" t="str">
        <x:v>1. Open Administrador &gt; Facturas &gt; Nueva Factura.
2. Create invoice with client, serie, folio, amount 150.00.
3. Open edit screen and link a completed order.</x:v>
      </x:c>
      <x:c r="G48" s="19" t="str">
        <x:v>- Create redirects to edit page.
- Invoice exists with entered identifier/folio/amount.
- Linked order appears in the invoice linked sales table.</x:v>
      </x:c>
      <x:c r="H48" s="19" t="str">
        <x:v>Upload file field can be tested separately if QA has PDF/XML sample.</x:v>
      </x:c>
      <x:c r="I48" s="19" t="str">
        <x:v>invoice/tests.py:523, invoice/tests.py:536, invoice/tests.py:542</x:v>
      </x:c>
      <x:c r="J48" s="19" t="str">
        <x:v>invoice/views.py:120, invoice/views.py:142</x:v>
      </x:c>
      <x:c r="K48" s="19" t="str"/>
      <x:c r="L48" s="19" t="str">
        <x:v>Not Started</x:v>
      </x:c>
      <x:c r="M48" s="19" t="str"/>
      <x:c r="N48" s="28"/>
      <x:c r="O48" s="19" t="str"/>
      <x:c r="P48" s="19" t="str"/>
      <x:c r="Q48" s="20" t="str"/>
    </x:row>
    <x:row r="49" ht="36" hidden="0" customHeight="1">
      <x:c r="A49" s="24" t="str">
        <x:v>CAN-001</x:v>
      </x:c>
      <x:c r="B49" s="25" t="str">
        <x:v>Cancellations</x:v>
      </x:c>
      <x:c r="C49" s="25" t="str">
        <x:v>P0</x:v>
      </x:c>
      <x:c r="D49" s="19" t="str">
        <x:v>Cancel pending order marks it cancelled without deleting items</x:v>
      </x:c>
      <x:c r="E49" s="19" t="str">
        <x:v>Pending order exists with at least one item.</x:v>
      </x:c>
      <x:c r="F49" s="19" t="str">
        <x:v>1. Open order screen.
2. Click cancel order and confirm.
3. Open order admin/detail.</x:v>
      </x:c>
      <x:c r="G49" s="19" t="str">
        <x:v>- Order status becomes CANCELLED.
- OrderProduct rows are still present for audit/history.
- No cancellation review flag is set.</x:v>
      </x:c>
      <x:c r="H49" s="19" t="str">
        <x:v>Check order list filters active/cancelled.</x:v>
      </x:c>
      <x:c r="I49" s="19" t="str">
        <x:v>orders/tests.py:656, orders/tests.py:929</x:v>
      </x:c>
      <x:c r="J49" s="19" t="str">
        <x:v>orders/services.py:329, orders/services.py:398, orders/views.py:528</x:v>
      </x:c>
      <x:c r="K49" s="19" t="str"/>
      <x:c r="L49" s="19" t="str">
        <x:v>Not Started</x:v>
      </x:c>
      <x:c r="M49" s="19" t="str"/>
      <x:c r="N49" s="28"/>
      <x:c r="O49" s="19" t="str"/>
      <x:c r="P49" s="19" t="str"/>
      <x:c r="Q49" s="20" t="str"/>
    </x:row>
    <x:row r="50" ht="48" hidden="0" customHeight="1">
      <x:c r="A50" s="24" t="str">
        <x:v>CAN-002</x:v>
      </x:c>
      <x:c r="B50" s="25" t="str">
        <x:v>Cancellations</x:v>
      </x:c>
      <x:c r="C50" s="25" t="str">
        <x:v>P0</x:v>
      </x:c>
      <x:c r="D50" s="19" t="str">
        <x:v>Cancel completed cash order reverses external payment status</x:v>
      </x:c>
      <x:c r="E50" s="19" t="str">
        <x:v>Completed order has completed cash payment.</x:v>
      </x:c>
      <x:c r="F50" s="19" t="str">
        <x:v>1. Cancel the completed order.
2. Open order payments.</x:v>
      </x:c>
      <x:c r="G50" s="19" t="str">
        <x:v>- Order status becomes CANCELLED.
- Cash payment status becomes reversed.
- Client balance and debt do not change for cash-only payment.</x:v>
      </x:c>
      <x:c r="H50" s="19" t="str">
        <x:v>Check reports do not count reversed payment buckets.</x:v>
      </x:c>
      <x:c r="I50" s="19" t="str">
        <x:v>orders/tests.py:673, report/tests.py:437</x:v>
      </x:c>
      <x:c r="J50" s="19" t="str">
        <x:v>orders/services.py:323, orders/services.py:329, report/views.py:45</x:v>
      </x:c>
      <x:c r="K50" s="19" t="str"/>
      <x:c r="L50" s="19" t="str">
        <x:v>Not Started</x:v>
      </x:c>
      <x:c r="M50" s="19" t="str"/>
      <x:c r="N50" s="28"/>
      <x:c r="O50" s="19" t="str"/>
      <x:c r="P50" s="19" t="str"/>
      <x:c r="Q50" s="20" t="str"/>
    </x:row>
    <x:row r="51" ht="48" hidden="0" customHeight="1">
      <x:c r="A51" s="24" t="str">
        <x:v>CAN-003</x:v>
      </x:c>
      <x:c r="B51" s="25" t="str">
        <x:v>Cancellations</x:v>
      </x:c>
      <x:c r="C51" s="25" t="str">
        <x:v>P0</x:v>
      </x:c>
      <x:c r="D51" s="19" t="str">
        <x:v>Cancel balance-paid order restores saldo</x:v>
      </x:c>
      <x:c r="E51" s="19" t="str">
        <x:v>Completed order has balance payment 40.00 and client balance was reduced from 100.00 to 60.00.</x:v>
      </x:c>
      <x:c r="F51" s="19" t="str">
        <x:v>1. Cancel the completed order.
2. Open client detail history.</x:v>
      </x:c>
      <x:c r="G51" s="19" t="str">
        <x:v>- Client balance returns to 100.00.
- Original balance payment is marked reversed.
- BalanceTransaction transaction_type payment_reversal exists and references the payment.</x:v>
      </x:c>
      <x:c r="H51" s="19" t="str">
        <x:v>Confirm order is CANCELLED.</x:v>
      </x:c>
      <x:c r="I51" s="19" t="str">
        <x:v>orders/tests.py:554, orders/tests.py:693</x:v>
      </x:c>
      <x:c r="J51" s="19" t="str">
        <x:v>clients/services/balance_service.py:331, orders/services.py:267</x:v>
      </x:c>
      <x:c r="K51" s="19" t="str"/>
      <x:c r="L51" s="19" t="str">
        <x:v>Not Started</x:v>
      </x:c>
      <x:c r="M51" s="19" t="str"/>
      <x:c r="N51" s="28"/>
      <x:c r="O51" s="19" t="str"/>
      <x:c r="P51" s="19" t="str"/>
      <x:c r="Q51" s="20" t="str"/>
    </x:row>
    <x:row r="52" ht="36" hidden="0" customHeight="1">
      <x:c r="A52" s="24" t="str">
        <x:v>CAN-004</x:v>
      </x:c>
      <x:c r="B52" s="25" t="str">
        <x:v>Cancellations</x:v>
      </x:c>
      <x:c r="C52" s="25" t="str">
        <x:v>P0</x:v>
      </x:c>
      <x:c r="D52" s="19" t="str">
        <x:v>Cancel open credit order reverses credit purchase</x:v>
      </x:c>
      <x:c r="E52" s="19" t="str">
        <x:v>Completed credito order has pending_credit marker pending and CreditTransaction purchase 50.00. Client current_debt = 50.00.</x:v>
      </x:c>
      <x:c r="F52" s="19" t="str">
        <x:v>1. Cancel the credit order.
2. Open client credit history and order payments.</x:v>
      </x:c>
      <x:c r="G52" s="19" t="str">
        <x:v>- Client current_debt becomes 0.00.
- pending_credit payment status becomes reversed.
- CreditTransaction purchase_reversal exists for the order.</x:v>
      </x:c>
      <x:c r="H52" s="19" t="str">
        <x:v>Check available credit is restored.</x:v>
      </x:c>
      <x:c r="I52" s="19" t="str">
        <x:v>orders/tests.py:589, orders/tests.py:721</x:v>
      </x:c>
      <x:c r="J52" s="19" t="str">
        <x:v>clients/services/balance_service.py:367, orders/services.py:302</x:v>
      </x:c>
      <x:c r="K52" s="19" t="str"/>
      <x:c r="L52" s="19" t="str">
        <x:v>Not Started</x:v>
      </x:c>
      <x:c r="M52" s="19" t="str"/>
      <x:c r="N52" s="28"/>
      <x:c r="O52" s="19" t="str"/>
      <x:c r="P52" s="19" t="str"/>
      <x:c r="Q52" s="20" t="str"/>
    </x:row>
    <x:row r="53" ht="72" hidden="0" customHeight="1">
      <x:c r="A53" s="24" t="str">
        <x:v>CAN-005</x:v>
      </x:c>
      <x:c r="B53" s="25" t="str">
        <x:v>Cancellations</x:v>
      </x:c>
      <x:c r="C53" s="25" t="str">
        <x:v>P0</x:v>
      </x:c>
      <x:c r="D53" s="19" t="str">
        <x:v>Cancel settled credit order reverses settlement payment and purchase</x:v>
      </x:c>
      <x:c r="E53" s="19" t="str">
        <x:v>Credit order has pending_credit completed, cash settlement completed, purchase and payment credit transactions. Client debt currently 0.00.</x:v>
      </x:c>
      <x:c r="F53" s="19" t="str">
        <x:v>1. Cancel the settled credit order.
2. Open order payments and client credit transactions.</x:v>
      </x:c>
      <x:c r="G53" s="19" t="str">
        <x:v>- pending_credit and cash settlement payments become reversed.
- A payment_reversal transaction restores the settled debt.
- A purchase_reversal transaction reverses the original credit purchase.
- Final client current_debt remains 0.00.</x:v>
      </x:c>
      <x:c r="H53" s="19" t="str">
        <x:v>Order status is CANCELLED and credit report no longer inflates open credit.</x:v>
      </x:c>
      <x:c r="I53" s="19" t="str">
        <x:v>orders/tests.py:607, orders/tests.py:757, clients/tests_credit_report_service.py:186</x:v>
      </x:c>
      <x:c r="J53" s="19" t="str">
        <x:v>orders/services.py:281, orders/services.py:302, orders/services.py:323</x:v>
      </x:c>
      <x:c r="K53" s="19" t="str"/>
      <x:c r="L53" s="19" t="str">
        <x:v>Not Started</x:v>
      </x:c>
      <x:c r="M53" s="19" t="str"/>
      <x:c r="N53" s="28"/>
      <x:c r="O53" s="19" t="str"/>
      <x:c r="P53" s="19" t="str"/>
      <x:c r="Q53" s="20" t="str"/>
    </x:row>
    <x:row r="54" ht="60" hidden="0" customHeight="1">
      <x:c r="A54" s="24" t="str">
        <x:v>CAN-006</x:v>
      </x:c>
      <x:c r="B54" s="25" t="str">
        <x:v>Cancellations</x:v>
      </x:c>
      <x:c r="C54" s="25" t="str">
        <x:v>P0</x:v>
      </x:c>
      <x:c r="D54" s="19" t="str">
        <x:v>Cancel order with spent added-in-order balance requires review</x:v>
      </x:c>
      <x:c r="E54" s="19" t="str">
        <x:v>Order cantidad_cobrada added 50.00 to client balance, but client current balance is now 0.00.</x:v>
      </x:c>
      <x:c r="F54" s="19" t="str">
        <x:v>1. Attempt to cancel the completed order.
2. Open order list/admin order record.</x:v>
      </x:c>
      <x:c r="G54" s="19" t="str">
        <x:v>- Cancellation fails with review_required true.
- Order remains COMPLETED.
- Order cancellation_review_required is true and reason mentions saldo.
- Review badge appears on order list/admin orders.</x:v>
      </x:c>
      <x:c r="H54" s="19" t="str">
        <x:v>Finance/admin must manually resolve before retrying.</x:v>
      </x:c>
      <x:c r="I54" s="19" t="str">
        <x:v>orders/tests.py:819, orders/tests.py:1163, orders/tests.py:1179</x:v>
      </x:c>
      <x:c r="J54" s="19" t="str">
        <x:v>orders/services.py:237, orders/services.py:329, orders/views.py:305</x:v>
      </x:c>
      <x:c r="K54" s="19" t="str"/>
      <x:c r="L54" s="19" t="str">
        <x:v>Not Started</x:v>
      </x:c>
      <x:c r="M54" s="19" t="str"/>
      <x:c r="N54" s="28"/>
      <x:c r="O54" s="19" t="str"/>
      <x:c r="P54" s="19" t="str"/>
      <x:c r="Q54" s="20" t="str"/>
    </x:row>
    <x:row r="55" ht="48" hidden="0" customHeight="1">
      <x:c r="A55" s="24" t="str">
        <x:v>CAN-007</x:v>
      </x:c>
      <x:c r="B55" s="25" t="str">
        <x:v>Cancellations</x:v>
      </x:c>
      <x:c r="C55" s="25" t="str">
        <x:v>P0</x:v>
      </x:c>
      <x:c r="D55" s="19" t="str">
        <x:v>Cancel order linked to invoice requires review</x:v>
      </x:c>
      <x:c r="E55" s="19" t="str">
        <x:v>Completed order is linked to an invoice.</x:v>
      </x:c>
      <x:c r="F55" s="19" t="str">
        <x:v>1. Attempt to cancel the order.
2. Open order list and client detail invoices.</x:v>
      </x:c>
      <x:c r="G55" s="19" t="str">
        <x:v>- Cancellation fails with review_required true.
- Order remains COMPLETED.
- Review reason mentions factura.
- Review badge appears in user/admin order lists.</x:v>
      </x:c>
      <x:c r="H55" s="19" t="str">
        <x:v>Invoice link must be reviewed before cancellation can proceed.</x:v>
      </x:c>
      <x:c r="I55" s="19" t="str">
        <x:v>orders/tests.py:844, orders/tests.py:959</x:v>
      </x:c>
      <x:c r="J55" s="19" t="str">
        <x:v>orders/services.py:329, orders/views.py:528</x:v>
      </x:c>
      <x:c r="K55" s="19" t="str"/>
      <x:c r="L55" s="19" t="str">
        <x:v>Not Started</x:v>
      </x:c>
      <x:c r="M55" s="19" t="str"/>
      <x:c r="N55" s="28"/>
      <x:c r="O55" s="19" t="str"/>
      <x:c r="P55" s="19" t="str"/>
      <x:c r="Q55" s="20" t="str"/>
    </x:row>
    <x:row r="56" ht="48" hidden="0" customHeight="1">
      <x:c r="A56" s="24" t="str">
        <x:v>CAN-008</x:v>
      </x:c>
      <x:c r="B56" s="25" t="str">
        <x:v>Cancellations</x:v>
      </x:c>
      <x:c r="C56" s="25" t="str">
        <x:v>P2</x:v>
      </x:c>
      <x:c r="D56" s="19" t="str">
        <x:v>Successful cancellation retry clears review metadata</x:v>
      </x:c>
      <x:c r="E56" s="19" t="str">
        <x:v>Order has cancellation_review_required true from a previous blocked attempt, and the blocker has been resolved.</x:v>
      </x:c>
      <x:c r="F56" s="19" t="str">
        <x:v>1. Retry cancellation after resolving the issue.
2. Open the order record.</x:v>
      </x:c>
      <x:c r="G56" s="19" t="str">
        <x:v>- Cancellation succeeds.
- Order status becomes CANCELLED.
- cancellation_review_required, reason, requested_at, and requested_by are cleared.</x:v>
      </x:c>
      <x:c r="H56" s="19" t="str">
        <x:v>Order no longer appears under REVIEW_REQUIRED filter.</x:v>
      </x:c>
      <x:c r="I56" s="19" t="str">
        <x:v>orders/tests.py:864, orders/tests.py:1195</x:v>
      </x:c>
      <x:c r="J56" s="19" t="str">
        <x:v>orders/services.py:230, orders/services.py:329</x:v>
      </x:c>
      <x:c r="K56" s="19" t="str"/>
      <x:c r="L56" s="19" t="str">
        <x:v>Not Started</x:v>
      </x:c>
      <x:c r="M56" s="19" t="str"/>
      <x:c r="N56" s="28"/>
      <x:c r="O56" s="19" t="str"/>
      <x:c r="P56" s="19" t="str"/>
      <x:c r="Q56" s="20" t="str"/>
    </x:row>
    <x:row r="57" ht="72" hidden="0" customHeight="1">
      <x:c r="A57" s="24" t="str">
        <x:v>REP-001</x:v>
      </x:c>
      <x:c r="B57" s="25" t="str">
        <x:v>Reports</x:v>
      </x:c>
      <x:c r="C57" s="25" t="str">
        <x:v>P0</x:v>
      </x:c>
      <x:c r="D57" s="19" t="str">
        <x:v>Global credit report shows credit columns and correct sort order</x:v>
      </x:c>
      <x:c r="E57" s="19" t="str">
        <x:v>Tempano active client has current_debt 17000.00, credit_limit 20000.00, overdue amount 9700.00. Vigor active client has current_debt 8300.00 and no overdue. Inactive and zero-credit clients also exist.</x:v>
      </x:c>
      <x:c r="F57" s="19" t="str">
        <x:v>1. Open Reportes &gt; Credito global.
2. Review rows and totals.</x:v>
      </x:c>
      <x:c r="G57" s="19" t="str">
        <x:v>- Columns include Credito vigente, Linea de credito autorizada, Disponible, and Monto vencido.
- Active credit/debt clients appear.
- Inactive and no-credit/no-debt clients are excluded.
- Rows sort by overdue amount descending, then current debt descending.</x:v>
      </x:c>
      <x:c r="H57" s="19" t="str">
        <x:v>Use search filter if dataset is large.</x:v>
      </x:c>
      <x:c r="I57" s="19" t="str">
        <x:v>clients/tests_credit_report_service.py:73, report/tests.py:506</x:v>
      </x:c>
      <x:c r="J57" s="19" t="str">
        <x:v>clients/services/credit_report_service.py:261, report/views.py:235</x:v>
      </x:c>
      <x:c r="K57" s="19" t="str"/>
      <x:c r="L57" s="19" t="str">
        <x:v>Not Started</x:v>
      </x:c>
      <x:c r="M57" s="19" t="str"/>
      <x:c r="N57" s="28"/>
      <x:c r="O57" s="19" t="str"/>
      <x:c r="P57" s="19" t="str"/>
      <x:c r="Q57" s="20" t="str"/>
    </x:row>
    <x:row r="58" ht="60" hidden="0" customHeight="1">
      <x:c r="A58" s="24" t="str">
        <x:v>REP-002</x:v>
      </x:c>
      <x:c r="B58" s="25" t="str">
        <x:v>Reports</x:v>
      </x:c>
      <x:c r="C58" s="25" t="str">
        <x:v>P0</x:v>
      </x:c>
      <x:c r="D58" s="19" t="str">
        <x:v>Client credit report splits invoiced and uninvoiced open credit</x:v>
      </x:c>
      <x:c r="E58" s="19" t="str">
        <x:v>Client has two invoiced credit orders totaling 9700.00 and one uninvoiced credit order 4500.00. Current debt = 14200.00.</x:v>
      </x:c>
      <x:c r="F58" s="19" t="str">
        <x:v>1. Open client detail and click Reporte de credito.
2. Review the detailed report sections.</x:v>
      </x:c>
      <x:c r="G58" s="19" t="str">
        <x:v>- Invoiced credit total is 9700.00.
- Uninvoiced credit total is 4500.00.
- Invoice item shows the invoice identifier/folio.
- No reconciliation warning appears when current_debt equals open credit total.</x:v>
      </x:c>
      <x:c r="H58" s="19" t="str">
        <x:v>Check the client detail link to the report exists.</x:v>
      </x:c>
      <x:c r="I58" s="19" t="str">
        <x:v>clients/tests_credit_report_service.py:120, report/tests.py:528, report/tests.py:556</x:v>
      </x:c>
      <x:c r="J58" s="19" t="str">
        <x:v>clients/services/credit_report_service.py:250, clients/views.py:608, report/views.py:290</x:v>
      </x:c>
      <x:c r="K58" s="19" t="str"/>
      <x:c r="L58" s="19" t="str">
        <x:v>Not Started</x:v>
      </x:c>
      <x:c r="M58" s="19" t="str"/>
      <x:c r="N58" s="28"/>
      <x:c r="O58" s="19" t="str"/>
      <x:c r="P58" s="19" t="str"/>
      <x:c r="Q58" s="20" t="str"/>
    </x:row>
    <x:row r="59" ht="48" hidden="0" customHeight="1">
      <x:c r="A59" s="24" t="str">
        <x:v>REP-003</x:v>
      </x:c>
      <x:c r="B59" s="25" t="str">
        <x:v>Reports</x:v>
      </x:c>
      <x:c r="C59" s="25" t="str">
        <x:v>P1</x:v>
      </x:c>
      <x:c r="D59" s="19" t="str">
        <x:v>Invoice-due uninvoiced credit is not overdue until invoice emission</x:v>
      </x:c>
      <x:c r="E59" s="19" t="str">
        <x:v>Client uses invoice_due. Old credit order exists but no invoice link with emmited_at.</x:v>
      </x:c>
      <x:c r="F59" s="19" t="str">
        <x:v>1. Open global credit report and client credit report.
2. Inspect overdue amount and order due date.</x:v>
      </x:c>
      <x:c r="G59" s="19" t="str">
        <x:v>- Global report overdue amount is 0.00 for this client/order.
- Client report shows no due date for the uninvoiced order.
- Uninvoiced order is not marked overdue.</x:v>
      </x:c>
      <x:c r="H59" s="19" t="str">
        <x:v>Then link invoice/emission date and rerun CFG-007.</x:v>
      </x:c>
      <x:c r="I59" s="19" t="str">
        <x:v>clients/tests_credit_report_service.py:164</x:v>
      </x:c>
      <x:c r="J59" s="19" t="str">
        <x:v>clients/services/pending_payment_service.py:40, clients/services/credit_report_service.py:143</x:v>
      </x:c>
      <x:c r="K59" s="19" t="str"/>
      <x:c r="L59" s="19" t="str">
        <x:v>Not Started</x:v>
      </x:c>
      <x:c r="M59" s="19" t="str"/>
      <x:c r="N59" s="28"/>
      <x:c r="O59" s="19" t="str"/>
      <x:c r="P59" s="19" t="str"/>
      <x:c r="Q59" s="20" t="str"/>
    </x:row>
    <x:row r="60" ht="48" hidden="0" customHeight="1">
      <x:c r="A60" s="24" t="str">
        <x:v>REP-004</x:v>
      </x:c>
      <x:c r="B60" s="25" t="str">
        <x:v>Reports</x:v>
      </x:c>
      <x:c r="C60" s="25" t="str">
        <x:v>P1</x:v>
      </x:c>
      <x:c r="D60" s="19" t="str">
        <x:v>Cancelled orders and reversed payments do not inflate open credit or payment reports</x:v>
      </x:c>
      <x:c r="E60" s="19" t="str">
        <x:v>Client has active credit order 100.00, canceled credit order 500.00, and reversed cash payment 100.00.</x:v>
      </x:c>
      <x:c r="F60" s="19" t="str">
        <x:v>1. Open client credit report.
2. Open orders/payment reports filtered by payment method if applicable.</x:v>
      </x:c>
      <x:c r="G60" s="19" t="str">
        <x:v>- Open credit total remains 100.00.
- Overdue amount only includes active unpaid order.
- Reversed payment is ignored in payment-method filtered reports.</x:v>
      </x:c>
      <x:c r="H60" s="19" t="str">
        <x:v>Check canceled order is excluded by default from reports.</x:v>
      </x:c>
      <x:c r="I60" s="19" t="str">
        <x:v>clients/tests_credit_report_service.py:186, report/tests.py:437</x:v>
      </x:c>
      <x:c r="J60" s="19" t="str">
        <x:v>clients/services/credit_report_service.py:100, report/views.py:39, report/views.py:45</x:v>
      </x:c>
      <x:c r="K60" s="19" t="str"/>
      <x:c r="L60" s="19" t="str">
        <x:v>Not Started</x:v>
      </x:c>
      <x:c r="M60" s="19" t="str"/>
      <x:c r="N60" s="28"/>
      <x:c r="O60" s="19" t="str"/>
      <x:c r="P60" s="19" t="str"/>
      <x:c r="Q60" s="20" t="str"/>
    </x:row>
    <x:row r="61" ht="60" hidden="0" customHeight="1">
      <x:c r="A61" s="24" t="str">
        <x:v>REP-005</x:v>
      </x:c>
      <x:c r="B61" s="25" t="str">
        <x:v>Reports</x:v>
      </x:c>
      <x:c r="C61" s="25" t="str">
        <x:v>P2</x:v>
      </x:c>
      <x:c r="D61" s="19" t="str">
        <x:v>Global credit report CSV export contains required columns</x:v>
      </x:c>
      <x:c r="E61" s="19" t="str">
        <x:v>Credit report has at least one client row.</x:v>
      </x:c>
      <x:c r="F61" s="19" t="str">
        <x:v>1. Open global credit report.
2. Click export CSV.
3. Open the downloaded CSV.</x:v>
      </x:c>
      <x:c r="G61" s="19" t="str">
        <x:v>- CSV headers are Cliente, Credito vigente, Linea de credito autorizada, Disponible, Monto vencido.
- Currency values are exported as raw decimal strings with two decimals.
- Search filters are preserved in export link.</x:v>
      </x:c>
      <x:c r="H61" s="19" t="str">
        <x:v>Validate with a client named Tempano if using test dataset.</x:v>
      </x:c>
      <x:c r="I61" s="19" t="str">
        <x:v>report/tests.py:520</x:v>
      </x:c>
      <x:c r="J61" s="19" t="str">
        <x:v>report/views.py:200, report/views.py:262</x:v>
      </x:c>
      <x:c r="K61" s="19" t="str"/>
      <x:c r="L61" s="19" t="str">
        <x:v>Not Started</x:v>
      </x:c>
      <x:c r="M61" s="19" t="str"/>
      <x:c r="N61" s="28"/>
      <x:c r="O61" s="19" t="str"/>
      <x:c r="P61" s="19" t="str"/>
      <x:c r="Q61" s="20" t="str"/>
    </x:row>
    <x:row r="62" ht="36" hidden="0" customHeight="1">
      <x:c r="A62" s="26" t="str">
        <x:v>REP-006</x:v>
      </x:c>
      <x:c r="B62" s="27" t="str">
        <x:v>Reports</x:v>
      </x:c>
      <x:c r="C62" s="27" t="str">
        <x:v>P2</x:v>
      </x:c>
      <x:c r="D62" s="22" t="str">
        <x:v>Client list credits mode filters clients with debt</x:v>
      </x:c>
      <x:c r="E62" s="22" t="str">
        <x:v>At least one client has current_debt &gt; 0 and at least one active client has zero debt.</x:v>
      </x:c>
      <x:c r="F62" s="22" t="str">
        <x:v>1. Open clients list with mode=credits.
2. Use search and pagination.</x:v>
      </x:c>
      <x:c r="G62" s="22" t="str">
        <x:v>- Only clients with current_debt greater than 0 appear.
- Search and pagination preserve mode=credits.
- Page title/subtitle indicate credit collection context.</x:v>
      </x:c>
      <x:c r="H62" s="22" t="str">
        <x:v>Use client detail for selected debt clients.</x:v>
      </x:c>
      <x:c r="I62" s="22" t="str">
        <x:v>clients/tests.py:596, clients/tests.py:640</x:v>
      </x:c>
      <x:c r="J62" s="22" t="str">
        <x:v>clients/views.py:777</x:v>
      </x:c>
      <x:c r="K62" s="22" t="str"/>
      <x:c r="L62" s="22" t="str">
        <x:v>Not Started</x:v>
      </x:c>
      <x:c r="M62" s="22" t="str"/>
      <x:c r="N62" s="29"/>
      <x:c r="O62" s="22" t="str"/>
      <x:c r="P62" s="22" t="str"/>
      <x:c r="Q62" s="23" t="str"/>
    </x:row>
  </x:sheetData>
  <x:conditionalFormatting sqref="L2:L62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</x:conditionalFormatting>
  <x:dataValidations count="3">
    <x:dataValidation type="list" sqref="L2:L62">
      <x:formula1>"Not Started,Pass,Fail,Blocked,N/A"</x:formula1>
    </x:dataValidation>
    <x:dataValidation type="list" sqref="B2:B62">
      <x:formula1>"Payments,Balance,Debt,Credit Orders,Credit Config,Invoices,Cancellations,Reports"</x:formula1>
    </x:dataValidation>
    <x:dataValidation type="list" sqref="C2:C62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714492c6494a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5.5600004196167" hidden="0" customWidth="1"/>
    <x:col min="3" max="3" width="47.779998779296875" hidden="0" customWidth="1"/>
    <x:col min="4" max="4" width="26.670000076293945" hidden="0" customWidth="1"/>
    <x:col min="5" max="5" width="36.66999816894531" hidden="0" customWidth="1"/>
  </x:cols>
  <x:sheetData>
    <x:row r="1" ht="15" hidden="0" customHeight="1">
      <x:c r="A1" s="15" t="str">
        <x:v>Setup ID</x:v>
      </x:c>
      <x:c r="B1" s="16" t="str">
        <x:v>Entity</x:v>
      </x:c>
      <x:c r="C1" s="16" t="str">
        <x:v>Setup Instructions</x:v>
      </x:c>
      <x:c r="D1" s="16" t="str">
        <x:v>Used By</x:v>
      </x:c>
      <x:c r="E1" s="17" t="str">
        <x:v>Notes</x:v>
      </x:c>
    </x:row>
    <x:row r="2" ht="15" hidden="0" customHeight="1">
      <x:c r="A2" s="18" t="str">
        <x:v>SET-001</x:v>
      </x:c>
      <x:c r="B2" s="19" t="str">
        <x:v>User</x:v>
      </x:c>
      <x:c r="C2" s="19" t="str">
        <x:v>Create or use a staff/superuser QA account.</x:v>
      </x:c>
      <x:c r="D2" s="19" t="str">
        <x:v>All admin and report cases</x:v>
      </x:c>
      <x:c r="E2" s="20" t="str">
        <x:v>Use the same account so created_by is easy to audit.</x:v>
      </x:c>
    </x:row>
    <x:row r="3" ht="24" hidden="0" customHeight="1">
      <x:c r="A3" s="18" t="str">
        <x:v>SET-002</x:v>
      </x:c>
      <x:c r="B3" s="19" t="str">
        <x:v>Product</x:v>
      </x:c>
      <x:c r="C3" s="19" t="str">
        <x:v>Create QA Garrafon product with a known price such as 25.00.</x:v>
      </x:c>
      <x:c r="D3" s="19" t="str">
        <x:v>Order creation cases</x:v>
      </x:c>
      <x:c r="E3" s="20" t="str">
        <x:v>Any product works if order totals match scenario amounts.</x:v>
      </x:c>
    </x:row>
    <x:row r="4" ht="24" hidden="0" customHeight="1">
      <x:c r="A4" s="18" t="str">
        <x:v>SET-003</x:v>
      </x:c>
      <x:c r="B4" s="19" t="str">
        <x:v>Contado client</x:v>
      </x:c>
      <x:c r="C4" s="19" t="str">
        <x:v>Create QA Contado with balance 0.00, credit_limit 0.00, current_debt 0.00.</x:v>
      </x:c>
      <x:c r="D4" s="19" t="str">
        <x:v>PAY-001, PAY-003, PAY-006</x:v>
      </x:c>
      <x:c r="E4" s="20" t="str">
        <x:v>Use for ordinary payment flows.</x:v>
      </x:c>
    </x:row>
    <x:row r="5" ht="24" hidden="0" customHeight="1">
      <x:c r="A5" s="18" t="str">
        <x:v>SET-004</x:v>
      </x:c>
      <x:c r="B5" s="19" t="str">
        <x:v>Balance client</x:v>
      </x:c>
      <x:c r="C5" s="19" t="str">
        <x:v>Create QA Balance with balance 100.00 and current_debt 0.00.</x:v>
      </x:c>
      <x:c r="D5" s="19" t="str">
        <x:v>PAY-002, PAY-004, BAL-001, BAL-002, CAN-003</x:v>
      </x:c>
      <x:c r="E5" s="20" t="str">
        <x:v>Record starting balance before each test.</x:v>
      </x:c>
    </x:row>
    <x:row r="6" ht="24" hidden="0" customHeight="1">
      <x:c r="A6" s="18" t="str">
        <x:v>SET-005</x:v>
      </x:c>
      <x:c r="B6" s="19" t="str">
        <x:v>Credit OK client</x:v>
      </x:c>
      <x:c r="C6" s="19" t="str">
        <x:v>Create QA Credit OK with balance 0.00, credit_limit 500.00, current_debt 0.00, can_pay_with_credit true, monthly_cutoff last_day.</x:v>
      </x:c>
      <x:c r="D6" s="19" t="str">
        <x:v>CRED-001, CRED-006, CRED-008, REP-001</x:v>
      </x:c>
      <x:c r="E6" s="20" t="str">
        <x:v>Use exact debt/limit amounts from each scenario when needed.</x:v>
      </x:c>
    </x:row>
    <x:row r="7" ht="24" hidden="0" customHeight="1">
      <x:c r="A7" s="18" t="str">
        <x:v>SET-006</x:v>
      </x:c>
      <x:c r="B7" s="19" t="str">
        <x:v>Credit mixed client</x:v>
      </x:c>
      <x:c r="C7" s="19" t="str">
        <x:v>Create QA Credit Mixed with balance 30.00, credit_limit 100.00, current_debt 0.00, can_pay_with_credit true.</x:v>
      </x:c>
      <x:c r="D7" s="19" t="str">
        <x:v>CRED-002, CRED-005</x:v>
      </x:c>
      <x:c r="E7" s="20" t="str">
        <x:v>Reset balance/debt between runs.</x:v>
      </x:c>
    </x:row>
    <x:row r="8" ht="24" hidden="0" customHeight="1">
      <x:c r="A8" s="18" t="str">
        <x:v>SET-007</x:v>
      </x:c>
      <x:c r="B8" s="19" t="str">
        <x:v>Credit blocked client</x:v>
      </x:c>
      <x:c r="C8" s="19" t="str">
        <x:v>Create QA Credit Blocked with balance 30.00, credit_limit 200.00, current_debt 0.00, can_pay_with_credit false.</x:v>
      </x:c>
      <x:c r="D8" s="19" t="str">
        <x:v>CRED-004, CFG-001</x:v>
      </x:c>
      <x:c r="E8" s="20" t="str">
        <x:v>The UI checkbox label is inverted: checked means block credit.</x:v>
      </x:c>
    </x:row>
    <x:row r="9" ht="24" hidden="0" customHeight="1">
      <x:c r="A9" s="18" t="str">
        <x:v>SET-008</x:v>
      </x:c>
      <x:c r="B9" s="19" t="str">
        <x:v>Invoice-ready corporate</x:v>
      </x:c>
      <x:c r="C9" s="19" t="str">
        <x:v>Create QA Invoice Corp with type corporate, InvoiceData RFC/razon_social, and one active billing/fiscal address.</x:v>
      </x:c>
      <x:c r="D9" s="19" t="str">
        <x:v>INV-001 through INV-012</x:v>
      </x:c>
      <x:c r="E9" s="20" t="str">
        <x:v>RFC in tests uses AAA010101AAA-like placeholder.</x:v>
      </x:c>
    </x:row>
    <x:row r="10" ht="24" hidden="0" customHeight="1">
      <x:c r="A10" s="18" t="str">
        <x:v>SET-009</x:v>
      </x:c>
      <x:c r="B10" s="19" t="str">
        <x:v>Branch/corporate pair</x:v>
      </x:c>
      <x:c r="C10" s="19" t="str">
        <x:v>Create corporate and branch clients for inheritance and invoice validation; vary corporate fiscal completeness.</x:v>
      </x:c>
      <x:c r="D10" s="19" t="str">
        <x:v>CFG-003, CFG-004, CFG-005, INV-010</x:v>
      </x:c>
      <x:c r="E10" s="20" t="str">
        <x:v>Branch fiscal data should not bypass corporate invoice validation.</x:v>
      </x:c>
    </x:row>
    <x:row r="11" ht="24" hidden="0" customHeight="1">
      <x:c r="A11" s="18" t="str">
        <x:v>SET-010</x:v>
      </x:c>
      <x:c r="B11" s="19" t="str">
        <x:v>Credit report dataset</x:v>
      </x:c>
      <x:c r="C11" s="19" t="str">
        <x:v>Create Tempano/Vigor style clients with credit purchases dated 2026-04-01 and 2026-07-01.</x:v>
      </x:c>
      <x:c r="D11" s="19" t="str">
        <x:v>REP-001, REP-002, REP-003, REP-004</x:v>
      </x:c>
      <x:c r="E11" s="20" t="str">
        <x:v>Use a disposable QA DB because dates are scenario-specific.</x:v>
      </x:c>
    </x:row>
    <x:row r="12" ht="24" hidden="0" customHeight="1">
      <x:c r="A12" s="18" t="str">
        <x:v>SET-011</x:v>
      </x:c>
      <x:c r="B12" s="19" t="str">
        <x:v>Invoice due terms</x:v>
      </x:c>
      <x:c r="C12" s="19" t="str">
        <x:v>For invoice_due tests, set requires_billing true and max_payment_days 30.</x:v>
      </x:c>
      <x:c r="D12" s="19" t="str">
        <x:v>CFG-002, CFG-007, REP-003</x:v>
      </x:c>
      <x:c r="E12" s="20" t="str">
        <x:v>Uninvoiced orders should have no due date.</x:v>
      </x:c>
    </x:row>
    <x:row r="13" ht="24" hidden="0" customHeight="1">
      <x:c r="A13" s="21" t="str">
        <x:v>SET-012</x:v>
      </x:c>
      <x:c r="B13" s="22" t="str">
        <x:v>Cleanup/reset</x:v>
      </x:c>
      <x:c r="C13" s="22" t="str">
        <x:v>After each money movement case, record starting/ending balances, debts, order IDs, payment IDs, and transaction IDs.</x:v>
      </x:c>
      <x:c r="D13" s="22" t="str">
        <x:v>All financial cases</x:v>
      </x:c>
      <x:c r="E13" s="23" t="str">
        <x:v>This sheet is intended for manual execution notes, not automated teardown.</x:v>
      </x:c>
    </x:row>
  </x:sheetData>
  <x:pageMargins left="0.7" right="0.7" top="0.75" bottom="0.75" header="0.3" footer="0.3"/>
  <x:tableParts count="1">
    <x:tablePart xmlns:r="http://schemas.openxmlformats.org/officeDocument/2006/relationships" r:id="Raf41e87453444bd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33.33000183105469" hidden="0" customWidth="1"/>
    <x:col min="3" max="3" width="40" hidden="0" customWidth="1"/>
    <x:col min="4" max="4" width="40" hidden="0" customWidth="1"/>
    <x:col min="5" max="5" width="23.329999923706055" hidden="0" customWidth="1"/>
  </x:cols>
  <x:sheetData>
    <x:row r="1" ht="15" hidden="0" customHeight="1">
      <x:c r="A1" s="15" t="str">
        <x:v>Area</x:v>
      </x:c>
      <x:c r="B1" s="16" t="str">
        <x:v>Behavior</x:v>
      </x:c>
      <x:c r="C1" s="16" t="str">
        <x:v>Primary Source Code</x:v>
      </x:c>
      <x:c r="D1" s="16" t="str">
        <x:v>Automated Tests</x:v>
      </x:c>
      <x:c r="E1" s="17" t="str">
        <x:v>Manual Case IDs</x:v>
      </x:c>
    </x:row>
    <x:row r="2" ht="24" hidden="0" customHeight="1">
      <x:c r="A2" s="18" t="str">
        <x:v>Payments</x:v>
      </x:c>
      <x:c r="B2" s="19" t="str">
        <x:v>Payment request routing, single/multi payment, cantidad_cobrada</x:v>
      </x:c>
      <x:c r="C2" s="19" t="str">
        <x:v>payment/services.py:33, payment/services.py:216, payment/services.py:285, payment/services.py:337</x:v>
      </x:c>
      <x:c r="D2" s="19" t="str">
        <x:v>payment/tests.py:26, payment/tests.py:56, payment/tests.py:76, payment/tests.py:118</x:v>
      </x:c>
      <x:c r="E2" s="20" t="str">
        <x:v>PAY-001 to PAY-009</x:v>
      </x:c>
    </x:row>
    <x:row r="3" ht="24" hidden="0" customHeight="1">
      <x:c r="A3" s="18" t="str">
        <x:v>Payments</x:v>
      </x:c>
      <x:c r="B3" s="19" t="str">
        <x:v>Order pay screen, valid methods, pending credit settlement entry point</x:v>
      </x:c>
      <x:c r="C3" s="19" t="str">
        <x:v>orders/views.py:67, orders/views.py:113</x:v>
      </x:c>
      <x:c r="D3" s="19" t="str">
        <x:v>payment/tests.py:294, orders/tests.py:1511</x:v>
      </x:c>
      <x:c r="E3" s="20" t="str">
        <x:v>PAY-001, CRED-008, CRED-009</x:v>
      </x:c>
    </x:row>
    <x:row r="4" ht="36" hidden="0" customHeight="1">
      <x:c r="A4" s="18" t="str">
        <x:v>Balance</x:v>
      </x:c>
      <x:c r="B4" s="19" t="str">
        <x:v>Balance mutations and audit rows</x:v>
      </x:c>
      <x:c r="C4" s="19" t="str">
        <x:v>clients/services/balance_service.py:59, clients/services/balance_service.py:120, clients/models.py:320</x:v>
      </x:c>
      <x:c r="D4" s="19" t="str">
        <x:v>tests/test_balance_credit_history.py:1, orders/tests.py:554</x:v>
      </x:c>
      <x:c r="E4" s="20" t="str">
        <x:v>BAL-001, BAL-002, CAN-003</x:v>
      </x:c>
    </x:row>
    <x:row r="5" ht="36" hidden="0" customHeight="1">
      <x:c r="A5" s="18" t="str">
        <x:v>Debt</x:v>
      </x:c>
      <x:c r="B5" s="19" t="str">
        <x:v>Debt payment, pay from balance, credit limit changes</x:v>
      </x:c>
      <x:c r="C5" s="19" t="str">
        <x:v>clients/services/balance_service.py:261, clients/services/balance_service.py:431, clients/services/balance_service.py:488</x:v>
      </x:c>
      <x:c r="D5" s="19" t="str">
        <x:v>tests/test_balance_credit_history.py:1</x:v>
      </x:c>
      <x:c r="E5" s="20" t="str">
        <x:v>DEBT-001 to DEBT-005</x:v>
      </x:c>
    </x:row>
    <x:row r="6" ht="24" hidden="0" customHeight="1">
      <x:c r="A6" s="18" t="str">
        <x:v>Credit Orders</x:v>
      </x:c>
      <x:c r="B6" s="19" t="str">
        <x:v>Register and settle credit order lifecycle</x:v>
      </x:c>
      <x:c r="C6" s="19" t="str">
        <x:v>payment/services.py:403, payment/services.py:423, payment/services.py:501, payment/services.py:108</x:v>
      </x:c>
      <x:c r="D6" s="19" t="str">
        <x:v>payment/tests.py:205, payment/tests.py:316, payment/tests.py:344, payment/tests.py:396</x:v>
      </x:c>
      <x:c r="E6" s="20" t="str">
        <x:v>CRED-001 to CRED-011</x:v>
      </x:c>
    </x:row>
    <x:row r="7" ht="36" hidden="0" customHeight="1">
      <x:c r="A7" s="18" t="str">
        <x:v>Credit Config</x:v>
      </x:c>
      <x:c r="B7" s="19" t="str">
        <x:v>Credit availability, emergency stop, branch override/inheritance</x:v>
      </x:c>
      <x:c r="C7" s="19" t="str">
        <x:v>clients/models.py:195, clients/models.py:199, clients/services/client_service.py:51, clients/views.py:262</x:v>
      </x:c>
      <x:c r="D7" s="19" t="str">
        <x:v>clients/tests_credit_management.py:75, clients/tests_credit_management.py:170, clients/tests_credit_management.py:301</x:v>
      </x:c>
      <x:c r="E7" s="20" t="str">
        <x:v>CFG-001 to CFG-005</x:v>
      </x:c>
    </x:row>
    <x:row r="8" ht="36" hidden="0" customHeight="1">
      <x:c r="A8" s="18" t="str">
        <x:v>Credit Terms</x:v>
      </x:c>
      <x:c r="B8" s="19" t="str">
        <x:v>Monthly cutoff and invoice due date calculations</x:v>
      </x:c>
      <x:c r="C8" s="19" t="str">
        <x:v>clients/services/pending_payment_service.py:27, clients/services/pending_payment_service.py:40</x:v>
      </x:c>
      <x:c r="D8" s="19" t="str">
        <x:v>clients/tests_credit_terms.py:13, clients/tests_credit_terms.py:33, clients/tests_credit_terms.py:46</x:v>
      </x:c>
      <x:c r="E8" s="20" t="str">
        <x:v>CFG-006, CFG-007, REP-003</x:v>
      </x:c>
    </x:row>
    <x:row r="9" ht="36" hidden="0" customHeight="1">
      <x:c r="A9" s="18" t="str">
        <x:v>Invoices</x:v>
      </x:c>
      <x:c r="B9" s="19" t="str">
        <x:v>Invoiceable orders, cap validation, invoice creation and sync</x:v>
      </x:c>
      <x:c r="C9" s="19" t="str">
        <x:v>invoice/services.py:265, invoice/services.py:314, invoice/services.py:352, invoice/services.py:476, invoice/services.py:534</x:v>
      </x:c>
      <x:c r="D9" s="19" t="str">
        <x:v>invoice/tests.py:38, invoice/tests.py:130, invoice/tests.py:413, invoice/tests.py:469</x:v>
      </x:c>
      <x:c r="E9" s="20" t="str">
        <x:v>INV-001 to INV-012</x:v>
      </x:c>
    </x:row>
    <x:row r="10" ht="24" hidden="0" customHeight="1">
      <x:c r="A10" s="18" t="str">
        <x:v>Invoices</x:v>
      </x:c>
      <x:c r="B10" s="19" t="str">
        <x:v>Admin invoice views and bulk create invoice action</x:v>
      </x:c>
      <x:c r="C10" s="19" t="str">
        <x:v>invoice/views.py:120, invoice/views.py:142, orders/views.py:253</x:v>
      </x:c>
      <x:c r="D10" s="19" t="str">
        <x:v>invoice/tests.py:523, invoice/tests.py:542, orders/tests.py:1043</x:v>
      </x:c>
      <x:c r="E10" s="20" t="str">
        <x:v>INV-006, INV-012</x:v>
      </x:c>
    </x:row>
    <x:row r="11" ht="36" hidden="0" customHeight="1">
      <x:c r="A11" s="18" t="str">
        <x:v>Cancellations</x:v>
      </x:c>
      <x:c r="B11" s="19" t="str">
        <x:v>Financial reversal and review-required logic</x:v>
      </x:c>
      <x:c r="C11" s="19" t="str">
        <x:v>orders/services.py:237, orders/services.py:267, orders/services.py:281, orders/services.py:302, orders/services.py:329</x:v>
      </x:c>
      <x:c r="D11" s="19" t="str">
        <x:v>orders/tests.py:656, orders/tests.py:693, orders/tests.py:721, orders/tests.py:757, orders/tests.py:819, orders/tests.py:844</x:v>
      </x:c>
      <x:c r="E11" s="20" t="str">
        <x:v>CAN-001 to CAN-008</x:v>
      </x:c>
    </x:row>
    <x:row r="12" ht="36" hidden="0" customHeight="1">
      <x:c r="A12" s="18" t="str">
        <x:v>Reports</x:v>
      </x:c>
      <x:c r="B12" s="19" t="str">
        <x:v>Global and client credit reports</x:v>
      </x:c>
      <x:c r="C12" s="19" t="str">
        <x:v>clients/services/credit_report_service.py:250, clients/services/credit_report_service.py:261, report/views.py:235, report/views.py:262</x:v>
      </x:c>
      <x:c r="D12" s="19" t="str">
        <x:v>clients/tests_credit_report_service.py:73, clients/tests_credit_report_service.py:120, report/tests.py:506, report/tests.py:520</x:v>
      </x:c>
      <x:c r="E12" s="20" t="str">
        <x:v>REP-001 to REP-006</x:v>
      </x:c>
    </x:row>
    <x:row r="13" ht="24" hidden="0" customHeight="1">
      <x:c r="A13" s="21" t="str">
        <x:v>Client Detail</x:v>
      </x:c>
      <x:c r="B13" s="22" t="str">
        <x:v>Client detail credit state, overdue data, invoices, payment history</x:v>
      </x:c>
      <x:c r="C13" s="22" t="str">
        <x:v>clients/views.py:576, clients/views.py:608, clients/services/pending_payment_service.py:94</x:v>
      </x:c>
      <x:c r="D13" s="22" t="str">
        <x:v>clients/tests.py:416, clients/tests.py:501, clients/tests_credit_management.py:542</x:v>
      </x:c>
      <x:c r="E13" s="23" t="str">
        <x:v>CRED-006, REP-002, REP-006</x:v>
      </x:c>
    </x:row>
  </x:sheetData>
  <x:pageMargins left="0.7" right="0.7" top="0.75" bottom="0.75" header="0.3" footer="0.3"/>
  <x:tableParts count="1">
    <x:tablePart xmlns:r="http://schemas.openxmlformats.org/officeDocument/2006/relationships" r:id="Rc1921bb9a4574f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4.44000244140625" hidden="0" customWidth="1"/>
  </x:cols>
  <x:sheetData>
    <x:row r="1" ht="15" hidden="0" customHeight="1">
      <x:c r="A1" s="15" t="str">
        <x:v>Topic</x:v>
      </x:c>
      <x:c r="B1" s="17" t="str">
        <x:v>Guidance</x:v>
      </x:c>
    </x:row>
    <x:row r="2" ht="15" hidden="0" customHeight="1">
      <x:c r="A2" s="18" t="str">
        <x:v>Purpose</x:v>
      </x:c>
      <x:c r="B2" s="20" t="str">
        <x:v>Manual QA handoff for payment, invoice, credit, and debt scenarios traced from the current unit tests and source code.</x:v>
      </x:c>
    </x:row>
    <x:row r="3" ht="15" hidden="0" customHeight="1">
      <x:c r="A3" s="18" t="str">
        <x:v>Primary deliverable</x:v>
      </x:c>
      <x:c r="B3" s="20" t="str">
        <x:v>Import this XLSX into Google Sheets. Native Google Sheets creation would require installing the Google Drive plugin.</x:v>
      </x:c>
    </x:row>
    <x:row r="4" ht="15" hidden="0" customHeight="1">
      <x:c r="A4" s="18" t="str">
        <x:v>Recommended order</x:v>
      </x:c>
      <x:c r="B4" s="20" t="str">
        <x:v>Run setup, then P0 cases first: PAY, CRED, INV, CAN, REP. Finish P1/P2 exploratory cases after core money flows pass.</x:v>
      </x:c>
    </x:row>
    <x:row r="5" ht="24" hidden="0" customHeight="1">
      <x:c r="A5" s="18" t="str">
        <x:v>Execution environment</x:v>
      </x:c>
      <x:c r="B5" s="20" t="str">
        <x:v>Use a disposable QA database or tenant. Many cases intentionally mutate balances, debts, payments, invoices, and cancellation state.</x:v>
      </x:c>
    </x:row>
    <x:row r="6" ht="15" hidden="0" customHeight="1">
      <x:c r="A6" s="18" t="str">
        <x:v>Recording evidence</x:v>
      </x:c>
      <x:c r="B6" s="20" t="str">
        <x:v>For each case, fill Status, Owner, Date Tested, Actual Result, Defect Link, and Notes in Manual Cases.</x:v>
      </x:c>
    </x:row>
    <x:row r="7" ht="15" hidden="0" customHeight="1">
      <x:c r="A7" s="18" t="str">
        <x:v>Audit focus</x:v>
      </x:c>
      <x:c r="B7" s="20" t="str">
        <x:v>Always record client ID, order ID, payment ID, invoice ID, BalanceTransaction ID, and CreditTransaction ID when present.</x:v>
      </x:c>
    </x:row>
    <x:row r="8" ht="15" hidden="0" customHeight="1">
      <x:c r="A8" s="18" t="str">
        <x:v>Source trace</x:v>
      </x:c>
      <x:c r="B8" s="20" t="str">
        <x:v>Use the Source Map tab to map a manual case back to automated tests and service code.</x:v>
      </x:c>
    </x:row>
    <x:row r="9" ht="15" hidden="0" customHeight="1">
      <x:c r="A9" s="21" t="str">
        <x:v>Known terminology</x:v>
      </x:c>
      <x:c r="B9" s="23" t="str">
        <x:v>Saldo = prepaid balance. Deuda/current_debt = amount owed. pending_credit Payment = credit marker, not money paid.</x:v>
      </x:c>
    </x:row>
  </x:sheetData>
  <x:pageMargins left="0.7" right="0.7" top="0.75" bottom="0.75" header="0.3" footer="0.3"/>
  <x:tableParts count="1">
    <x:tablePart xmlns:r="http://schemas.openxmlformats.org/officeDocument/2006/relationships" r:id="Rbefae0a443094039"/>
  </x:tableParts>
</x:worksheet>
</file>